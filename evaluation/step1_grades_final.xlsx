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hanshivaram/Downloads/"/>
    </mc:Choice>
  </mc:AlternateContent>
  <xr:revisionPtr revIDLastSave="0" documentId="13_ncr:1_{B5403A46-03D1-E640-A306-B16AA0D14CEB}" xr6:coauthVersionLast="47" xr6:coauthVersionMax="47" xr10:uidLastSave="{00000000-0000-0000-0000-000000000000}"/>
  <bookViews>
    <workbookView xWindow="0" yWindow="660" windowWidth="29400" windowHeight="16980" tabRatio="500" activeTab="1" xr2:uid="{00000000-000D-0000-FFFF-FFFF00000000}"/>
  </bookViews>
  <sheets>
    <sheet name="How to review" sheetId="1" r:id="rId1"/>
    <sheet name="Grades" sheetId="2" r:id="rId2"/>
    <sheet name="Summary" sheetId="3" r:id="rId3"/>
  </sheets>
  <definedNames>
    <definedName name="_xlnm._FilterDatabase" localSheetId="1" hidden="1">Grades!$A$1:$Q$178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3" l="1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6" i="3"/>
  <c r="C7" i="3" s="1"/>
  <c r="B6" i="3"/>
  <c r="B7" i="3" s="1"/>
  <c r="C5" i="3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<sst xmlns="http://schemas.openxmlformats.org/spreadsheetml/2006/main" count="2046" uniqueCount="351">
  <si>
    <t>How to review Claude's first-pass grades</t>
  </si>
  <si>
    <t>Claude filled in the three grade columns and the notes for all 177 questions. Your job is to check them.</t>
  </si>
  <si>
    <t>1. Go to the "Grades" tab. Rows shaded light red are the ones Claude marked with at least one N - start there (24 rows).</t>
  </si>
  <si>
    <t>2. For each red row, read "original_text", then "ai_question", then Claude's note.</t>
  </si>
  <si>
    <t>3. In the yellow column "Rohan agrees? (Y/N)", type Y if you agree with Claude's grades, or N if you don't.</t>
  </si>
  <si>
    <t>4. If you type N, write why in the yellow "Rohan notes" column.</t>
  </si>
  <si>
    <t>5. Optional: skim a few unshaded (all-Y) rows and spot-check that they really are fine.</t>
  </si>
  <si>
    <t>What the grades mean</t>
  </si>
  <si>
    <t>accurate: does the AI question ask the same thing as the original text, with nothing missing or changed?</t>
  </si>
  <si>
    <t>easy to understand: would an average person understand the question without looking anything up?</t>
  </si>
  <si>
    <t>correct answer counts against: if a patient gave the answer in "answer_that_counts_against", should they really be turned away?</t>
  </si>
  <si>
    <t>Example of a filled-in review row</t>
  </si>
  <si>
    <t>Row: "Do you have any food allergies?" | Claude: N, Y, Y, dropped qualifier | Rohan agrees? Y | Rohan notes: (blank)</t>
  </si>
  <si>
    <t>Note for your research write-up: these grades are an AI-assisted first pass, reviewed by a human (you). Say that plainly if you publish results.</t>
  </si>
  <si>
    <t>The "Summary" tab counts results by model and updates automatically as you edit.</t>
  </si>
  <si>
    <t>trial_id</t>
  </si>
  <si>
    <t>model</t>
  </si>
  <si>
    <t>question_number</t>
  </si>
  <si>
    <t>criterion_type</t>
  </si>
  <si>
    <t>original_text</t>
  </si>
  <si>
    <t>ai_question</t>
  </si>
  <si>
    <t>answer_that_counts_against</t>
  </si>
  <si>
    <t>sensitive_topic</t>
  </si>
  <si>
    <t>grade_level_original</t>
  </si>
  <si>
    <t>grade_level_question</t>
  </si>
  <si>
    <t>accurate (Y/N)</t>
  </si>
  <si>
    <t>easy to understand (Y/N)</t>
  </si>
  <si>
    <t>correct answer counts against (Y/N)</t>
  </si>
  <si>
    <t>notes</t>
  </si>
  <si>
    <t>first-pass grader</t>
  </si>
  <si>
    <t>Rohan agrees? (Y/N)</t>
  </si>
  <si>
    <t>Rohan notes</t>
  </si>
  <si>
    <t>NCT07661368</t>
  </si>
  <si>
    <t>claude-opus-5</t>
  </si>
  <si>
    <t>inclusion</t>
  </si>
  <si>
    <t>Age: 50 - 75 yrs</t>
  </si>
  <si>
    <t>Are you between 50 and 75 years old?</t>
  </si>
  <si>
    <t>no</t>
  </si>
  <si>
    <t>Y</t>
  </si>
  <si>
    <t>Claude</t>
  </si>
  <si>
    <t>Score of 5 or greater on ADA (diabetes) screener</t>
  </si>
  <si>
    <t>Have you scored 5 or higher on the American Diabetes Association (ADA) diabetes risk screener?</t>
  </si>
  <si>
    <t>Self-report family history of dementia or AD</t>
  </si>
  <si>
    <t>Does someone in your family have dementia or Alzheimer's disease (a brain illness that affects memory and thinking)?</t>
  </si>
  <si>
    <t>Smartphone (iOS or Android)</t>
  </si>
  <si>
    <t>Do you have a smartphone (iPhone or Android)?</t>
  </si>
  <si>
    <t>Verbal and written informed consent</t>
  </si>
  <si>
    <t>Are you able to give spoken and written informed consent to join a study?</t>
  </si>
  <si>
    <t>exclusion</t>
  </si>
  <si>
    <t>Food allergies or conditions requiring a specialized diet that would limit participation</t>
  </si>
  <si>
    <t>Do you have any food allergies?</t>
  </si>
  <si>
    <t>yes</t>
  </si>
  <si>
    <t>N</t>
  </si>
  <si>
    <t>dropped qualifier: question asks about ANY food allergy; original only excludes allergies/special diets "that would limit participation"</t>
  </si>
  <si>
    <t>Do you have a health condition that requires you to follow a special diet?</t>
  </si>
  <si>
    <t>dropped qualifier: missing "that would limit participation"</t>
  </si>
  <si>
    <t>claude-sonnet-5</t>
  </si>
  <si>
    <t>Did you score 5 or higher on the ADA (American Diabetes Association) diabetes risk screener?</t>
  </si>
  <si>
    <t>Do you have a family history of dementia or Alzheimer's disease?</t>
  </si>
  <si>
    <t>Are you willing and able to give verbal and written informed consent?</t>
  </si>
  <si>
    <t>Do you have food allergies or a condition that requires a special diet that would limit your participation?</t>
  </si>
  <si>
    <t>NCT05933161</t>
  </si>
  <si>
    <t>Prior implantation of contemporary, centrifugal flow LVAD (HeartWare or HeartMate 3) at any time after 2010</t>
  </si>
  <si>
    <t>Have you had a heart pump (LVAD, either HeartWare or HeartMate 3) implanted at any time after 2010?</t>
  </si>
  <si>
    <t>Diagnosis of type II diabetes mellitus</t>
  </si>
  <si>
    <t>Have you been diagnosed with type 2 diabetes?</t>
  </si>
  <si>
    <t>Any antihyperglycemic regimen</t>
  </si>
  <si>
    <t>Are you taking any medicine to lower your blood sugar?</t>
  </si>
  <si>
    <t>Greater than 3 months out from LVAD implantation</t>
  </si>
  <si>
    <t>Has it been more than 3 months since your LVAD was implanted?</t>
  </si>
  <si>
    <t>Capable of utilizing smartphone device for LibreLink app for uploading glycemic data</t>
  </si>
  <si>
    <t>Can you use a smartphone to run the LibreLink app and upload your blood sugar data?</t>
  </si>
  <si>
    <t>Patients may be enrolled who have preexisting CGM in place.</t>
  </si>
  <si>
    <t>Do you already use a continuous glucose monitor (CGM, a sensor that tracks your blood sugar all day)?</t>
  </si>
  <si>
    <t>wrong direction: original says people who already have a CGM MAY join (allowed, not required), but a "no" answer would count against them</t>
  </si>
  <si>
    <t>Type I diabetics</t>
  </si>
  <si>
    <t>Have you been diagnosed with type 1 diabetes?</t>
  </si>
  <si>
    <t>Unable to return at 3 month evaluation</t>
  </si>
  <si>
    <t>Would it be hard for you to come back for a visit 3 months later?</t>
  </si>
  <si>
    <t>dropped qualifier: "hard to come back" is broader than "unable to return"</t>
  </si>
  <si>
    <t>Have you had a HeartWare or HeartMate 3 left ventricular assist device (LVAD) implanted at any time after 2010?</t>
  </si>
  <si>
    <t>Are you currently taking any medicine to lower your blood sugar?</t>
  </si>
  <si>
    <t>Was your LVAD implanted more than 3 months ago?</t>
  </si>
  <si>
    <t>Do you have a smartphone you can use with the LibreLink app to upload your blood sugar data?</t>
  </si>
  <si>
    <t>Do you have type 1 diabetes?</t>
  </si>
  <si>
    <t>Would you be able to return for a follow-up visit at 3 months?</t>
  </si>
  <si>
    <t>NCT06628453</t>
  </si>
  <si>
    <t>Type 2 diabetes mellitus treated with daily insulin injections or oral hypoglycemic agents diagnosed before pregnancy or at less than 14 weeks gestation with hemoglobin A1c 6.5% or greater</t>
  </si>
  <si>
    <t>Do you have type 2 diabetes treated with daily insulin shots or diabetes pills?</t>
  </si>
  <si>
    <t>Was your diabetes diagnosed before you became pregnant, or before 14 weeks of pregnancy?</t>
  </si>
  <si>
    <t>Is your A1c (a blood test showing your average blood sugar over about 3 months) 6.5% or higher?</t>
  </si>
  <si>
    <t>Pregnant with viable fetus at 6 to less than 23 weeks gestation</t>
  </si>
  <si>
    <t>Are you pregnant and between 6 weeks and less than 23 weeks along?</t>
  </si>
  <si>
    <t>Maternal age 18-50 years old</t>
  </si>
  <si>
    <t>Are you between 18 and 50 years old?</t>
  </si>
  <si>
    <t>Unable or unwilling to wear CGM due to intolerance to medical-grade adhesives or skin conditions</t>
  </si>
  <si>
    <t>Do you have a skin condition or a reaction to medical adhesives (sticky patches) that would keep you from wearing a sensor on your skin?</t>
  </si>
  <si>
    <t>Multiple gestation</t>
  </si>
  <si>
    <t>Are you pregnant with twins or more?</t>
  </si>
  <si>
    <t>Major fetal anomaly or two or more minor fetal anomalies</t>
  </si>
  <si>
    <t>Have you been told your baby has a major birth defect, or two or more minor ones?</t>
  </si>
  <si>
    <t>Participating in another conflicting interventional study</t>
  </si>
  <si>
    <t>Are you taking part in another clinical study with a treatment or device right now?</t>
  </si>
  <si>
    <t>dropped qualifier: missing "conflicting" - only studies that conflict with this one rule you out</t>
  </si>
  <si>
    <t>Participation in this trial in a previous pregnancy</t>
  </si>
  <si>
    <t>Did you take part in this same trial during an earlier pregnancy?</t>
  </si>
  <si>
    <t>Do you have type 2 diabetes that is treated with daily insulin shots or diabetes pills?</t>
  </si>
  <si>
    <t>diagnosed before pregnancy or at less than 14 weeks gestation with hemoglobin A1c 6.5% or greater</t>
  </si>
  <si>
    <t>Was your type 2 diabetes diagnosed before pregnancy or before 14 weeks of pregnancy?</t>
  </si>
  <si>
    <t>hemoglobin A1c 6.5% or greater</t>
  </si>
  <si>
    <t>Are you currently pregnant with one baby that has a heartbeat, between 6 and less than 23 weeks along?</t>
  </si>
  <si>
    <t>Are you unable or unwilling to wear a continuous glucose monitor (CGM) because of a skin condition or an allergy to medical adhesives?</t>
  </si>
  <si>
    <t>Are you pregnant with more than one baby (twins or more)?</t>
  </si>
  <si>
    <t>Has your baby been found to have a major birth defect, or two or more minor birth defects?</t>
  </si>
  <si>
    <t>Planned delivery outside study consortium</t>
  </si>
  <si>
    <t>Do you plan to deliver your baby at a hospital outside the study's network?</t>
  </si>
  <si>
    <t>Have you taken part in this same study during an earlier pregnancy?</t>
  </si>
  <si>
    <t>NCT05317585</t>
  </si>
  <si>
    <t>1) age greater than or equal to 18 years old</t>
  </si>
  <si>
    <t>Are you 18 years old or older?</t>
  </si>
  <si>
    <t>2) singleton gestation less than or equal to 14 weeks at initial obstetric visit</t>
  </si>
  <si>
    <t>Are you pregnant with one baby (not twins or more)?</t>
  </si>
  <si>
    <t>At your first pregnancy visit, were you 14 weeks pregnant or less?</t>
  </si>
  <si>
    <t>3) established diagnosis of T2DM by laboratory criteria including hemoglobin A1c ≥6.5%, oral glucose tolerance test ≥200 mg/dL, or fasting plasma glucose ≥126 mg/dL</t>
  </si>
  <si>
    <t>Have you been diagnosed with type 2 diabetes based on blood tests, such as an A1c (a blood test showing your average blood sugar over about 3 months) of 6.5% or higher, a glucose tolerance test of 200 mg/dL or higher, or a fasting blood sugar of 126 mg/dL or higher?</t>
  </si>
  <si>
    <t>4) receiving prenatal care at UMASS Memorial Health Care (UMMHC) and plans to deliver at UMMHC</t>
  </si>
  <si>
    <t>Do you get your pregnancy care at UMASS Memorial Health Care (UMMHC) and plan to give birth there?</t>
  </si>
  <si>
    <t>1) known diagnosis of type 1 diabetes or gestational diabetes</t>
  </si>
  <si>
    <t>Have you been diagnosed with type 1 diabetes or gestational diabetes (diabetes that starts during pregnancy)?</t>
  </si>
  <si>
    <t>2) plan to receive prenatal care or delivery outside of UMMHC</t>
  </si>
  <si>
    <t>Do you plan to get your pregnancy care or give birth somewhere other than UMMHC?</t>
  </si>
  <si>
    <t>4) multifetal gestation</t>
  </si>
  <si>
    <t>Are you pregnant with twins or more babies?</t>
  </si>
  <si>
    <t>NCT06739122</t>
  </si>
  <si>
    <t>Have Type 2 diabetes treated with diet and exercise and metformin and/or basal insulin.</t>
  </si>
  <si>
    <t>Do you have type 2 diabetes that is treated with diet and exercise plus metformin and/or basal (long-acting) insulin?</t>
  </si>
  <si>
    <t>Metformin and/or basal insulin dose must be stable for at least 8 weeks prior to screening.</t>
  </si>
  <si>
    <t>Has your metformin and/or basal insulin dose stayed the same for at least 8 weeks?</t>
  </si>
  <si>
    <t>Have a body weight ≥50 kilograms (kg) and Body Mass Index (BMI) of &gt;85th percentile</t>
  </si>
  <si>
    <t>Is your body weight 50 kilograms (about 110 pounds) or more?</t>
  </si>
  <si>
    <t>missing requirement: leaves out BMI above the 85th percentile (a children's growth measure; this looks like a pediatric trial)</t>
  </si>
  <si>
    <t>Have Type 1 diabetes</t>
  </si>
  <si>
    <t>Have received treatment with any glucose-lowering agent(s) other than metformin, basal insulin, or dulaglutide within 8 weeks prior to screening</t>
  </si>
  <si>
    <t>In the past 8 weeks, have you taken any diabetes medicine other than metformin, basal insulin, or dulaglutide?</t>
  </si>
  <si>
    <t>After the Type 2 diabetes diagnosis, have a history of diabetic ketoacidosis or hyperosmolar syndrome</t>
  </si>
  <si>
    <t>Since your type 2 diabetes was diagnosed, have you ever had diabetic ketoacidosis or hyperosmolar syndrome (serious diabetes emergencies needing urgent care)?</t>
  </si>
  <si>
    <t>Have had ≥1 episode of severe hypoglycemia and/or ≥1 episode of hypoglycemic unawareness within the last 6 months</t>
  </si>
  <si>
    <t>In the last 6 months, have you had an episode of severe low blood sugar, or low blood sugar you could not feel coming on?</t>
  </si>
  <si>
    <t>Have family or personal history of medullary thyroid carcinoma (MTC) or multiple endocrine neoplasia syndrome type 2 (MEN2)</t>
  </si>
  <si>
    <t>Have you or a family member ever had medullary thyroid cancer or multiple endocrine neoplasia syndrome type 2 (a rare inherited gland disease)?</t>
  </si>
  <si>
    <t>Have prior chronic, recurrent, or idiopathic pancreatitis, or known gallbladder disease</t>
  </si>
  <si>
    <t>Have you ever had long-lasting or repeated pancreatitis (swelling of the pancreas), or gallbladder disease?</t>
  </si>
  <si>
    <t>missing requirement: leaves out "idiopathic" (unexplained) pancreatitis; minor</t>
  </si>
  <si>
    <t>Have been treated with prescription drugs or over-the-counter medications that promote weight loss within 8 weeks prior to screening</t>
  </si>
  <si>
    <t>In the past 8 weeks, have you taken any prescription or over-the-counter medicine to help you lose weight?</t>
  </si>
  <si>
    <t>Do you have type 2 diabetes that is being treated with diet, exercise, and metformin and/or basal insulin?</t>
  </si>
  <si>
    <t>Has your metformin and/or basal insulin dose stayed the same for at least 8 weeks before screening?</t>
  </si>
  <si>
    <t>Have a body weight ≥50 kilograms (kg)</t>
  </si>
  <si>
    <t>Do you weigh 50 kilograms (about 110 pounds) or more?</t>
  </si>
  <si>
    <t>Have you taken any glucose-lowering medicine other than metformin, basal insulin, or dulaglutide within the last 8 weeks before screening?</t>
  </si>
  <si>
    <t>Since being diagnosed with type 2 diabetes, have you had an episode of diabetic ketoacidosis or hyperosmolar syndrome (serious high blood sugar emergencies)?</t>
  </si>
  <si>
    <t>In the last 6 months, have you had a severe low blood sugar episode or times when you couldn't feel your blood sugar dropping?</t>
  </si>
  <si>
    <t>Do you or a family member have a history of medullary thyroid carcinoma (a type of thyroid cancer) or multiple endocrine neoplasia syndrome type 2 (MEN2)?</t>
  </si>
  <si>
    <t>confusing: "multiple endocrine neoplasia syndrome type 2 (MEN2)" is not explained</t>
  </si>
  <si>
    <t>Do you have a history of long-term or repeated pancreatitis (pancreas inflammation), or known gallbladder disease?</t>
  </si>
  <si>
    <t>NCT07554443</t>
  </si>
  <si>
    <t>Be 60 years of age or older</t>
  </si>
  <si>
    <t>Are you 60 years of age or older?</t>
  </si>
  <si>
    <t>Have a diagnosis of PN with plantar sensory loss</t>
  </si>
  <si>
    <t>Have you been diagnosed with peripheral neuropathy (nerve damage) with loss of feeling in the soles of your feet?</t>
  </si>
  <si>
    <t>Be able to walk independently for at least 6 minutes without the use of an assistive device (rest breaks permitted)</t>
  </si>
  <si>
    <t>Can you walk on your own for at least 6 minutes without a cane, walker, or other walking aid? (Rest breaks are allowed.)</t>
  </si>
  <si>
    <t>Demonstrate balance impairment, defined as a Single-Leg Stance time of &lt;23 seconds</t>
  </si>
  <si>
    <t>Can you stand on one leg for less than 23 seconds?</t>
  </si>
  <si>
    <t>confusing: almost anyone "can" stand on one leg for less than 23 seconds. Should be "Can you stand on one leg for 23 seconds or longer?" with Yes counting against</t>
  </si>
  <si>
    <t>Self-reported acute thrombophlebitis, including deep vein thrombosis</t>
  </si>
  <si>
    <t>Do you have a blood clot in a vein or swollen, inflamed veins (such as deep vein thrombosis)?</t>
  </si>
  <si>
    <t>Self-reported severe peripheral vascular disease</t>
  </si>
  <si>
    <t>Do you have severe peripheral vascular disease (poor blood flow in your legs)?</t>
  </si>
  <si>
    <t>Untreated lesion of any kind, swelling, infection, inflamed area of skin or eruptions on the lower leg near product use</t>
  </si>
  <si>
    <t>Do you have a sore, swelling, infection, or rash on your lower leg that has not been treated?</t>
  </si>
  <si>
    <t>Other neurological or musculoskeletal conditions that moderately or severely impact walking</t>
  </si>
  <si>
    <t>Do you have another nerve or muscle/bone condition that makes walking moderately or severely harder?</t>
  </si>
  <si>
    <t>Use of ankle-foot orthosis for ambulation that prevents donning of Walkasins</t>
  </si>
  <si>
    <t>Do you wear an ankle-foot brace to walk?</t>
  </si>
  <si>
    <t>dropped qualifier: missing "that prevents wearing" the study device - any brace would rule you out</t>
  </si>
  <si>
    <t>Weight of more than 300 pounds</t>
  </si>
  <si>
    <t>Do you weigh more than 300 pounds?</t>
  </si>
  <si>
    <t>Have you been diagnosed with peripheral neuropathy (PN) with loss of feeling in the soles of your feet?</t>
  </si>
  <si>
    <t>Can you walk on your own for at least 6 minutes without using a cane, walker, or other assistive device?</t>
  </si>
  <si>
    <t>Have you ever had a blood clot in a vein, such as deep vein thrombosis or thrombophlebitis?</t>
  </si>
  <si>
    <t>dropped qualifier: original is "acute" (a current clot); "have you EVER had" rules out people with a clot years ago</t>
  </si>
  <si>
    <t>Untreated lymphedema</t>
  </si>
  <si>
    <t>Do you have untreated lymphedema (swelling caused by fluid buildup)?</t>
  </si>
  <si>
    <t>Do you have any untreated wound, swelling, infection, or skin problem on your lower leg near where the device would be worn?</t>
  </si>
  <si>
    <t>Self-reported, untreated fractures in the foot and ankle</t>
  </si>
  <si>
    <t>Do you have any untreated broken bones in your foot or ankle?</t>
  </si>
  <si>
    <t>Does your current weight exceed 300 pounds?</t>
  </si>
  <si>
    <t>NCT07527650</t>
  </si>
  <si>
    <t>United States: 18 to 75 years (inclusive)</t>
  </si>
  <si>
    <t>Are you between 18 and 75 years old?</t>
  </si>
  <si>
    <t>Diagnosed with type 2 diabetes mellitus (T2DM) with HbA1c ≥7.0% and ≤10.0% at screening</t>
  </si>
  <si>
    <t>Has a doctor told you that you have type 2 diabetes, with an A1c (a blood test showing your average blood sugar over about 3 months) of 7.0% or higher and 10.0% or lower?</t>
  </si>
  <si>
    <t>Treated with diet and exercise alone or on a stable dose of metformin (≥1000 mg/day) for at least 3 months prior to screening</t>
  </si>
  <si>
    <t>For the past 3 months or longer, have you managed your diabetes with diet and exercise alone, or with a steady dose of metformin of at least 1000 mg a day?</t>
  </si>
  <si>
    <t>BMI ≥25 kg/m² and ≤50 kg/m²</t>
  </si>
  <si>
    <t>Is your BMI (body mass index, a number based on your height and weight) between 25 and 50 kg/m²?</t>
  </si>
  <si>
    <t>Body weight change &lt;5% over the past 3 months prior to screening</t>
  </si>
  <si>
    <t>Has your body weight stayed within 5% of the same over the past 3 months?</t>
  </si>
  <si>
    <t>confusing wording: "stayed within 5% of the same"</t>
  </si>
  <si>
    <t>Type 1 diabetes mellitus or use of glucose-lowering medications other than metformin within 3 months prior to screening</t>
  </si>
  <si>
    <t>Do you have type 1 diabetes, or have you used any diabetes medicine other than metformin in the past 3 months?</t>
  </si>
  <si>
    <t>History of diabetic ketoacidosis or severe hypoglycemia within 6 months</t>
  </si>
  <si>
    <t>In the past 6 months, have you had diabetic ketoacidosis (a serious problem from very high blood sugar) or severe low blood sugar?</t>
  </si>
  <si>
    <t>Clinically significant cardiovascular disease (e.g., NYHA class III/IV heart failure, recent myocardial infarction, stroke, or revascularization within 3 months)</t>
  </si>
  <si>
    <t>In the past 3 months, have you had a heart attack, a stroke, or a heart procedure to open blocked arteries, or do you have severe heart failure?</t>
  </si>
  <si>
    <t>History of pancreatitis or factors increasing the risk of pancreatitis</t>
  </si>
  <si>
    <t>Have you ever had pancreatitis (swelling of the pancreas)?</t>
  </si>
  <si>
    <t>missing requirement: leaves out "factors increasing the risk of pancreatitis"</t>
  </si>
  <si>
    <t>Personal or family history of medullary thyroid carcinoma (MTC) or multiple endocrine neoplasia type 2</t>
  </si>
  <si>
    <t>Have you or a family member ever had medullary thyroid cancer or multiple endocrine neoplasia type 2 (a rare inherited gland disorder)?</t>
  </si>
  <si>
    <t>Participation in another investigational study within 30 days or within 5 half-lives of the investigational product, whichever is longer; for GLP-1 receptor agonist-related or weight loss studies, participation within 3 months prior to screening</t>
  </si>
  <si>
    <t>Have you taken part in another research study of an investigational drug in the past 30 days, or in a GLP-1 or weight loss study in the past 3 months?</t>
  </si>
  <si>
    <t>Do you have type 2 diabetes with an A1c (a blood test showing your average blood sugar over about 3 months) between 7.0% and 10.0% at your screening visit?</t>
  </si>
  <si>
    <t>Have you been treated only with diet and exercise, or on a steady dose of metformin (at least 1000 mg per day) for at least 3 months before screening?</t>
  </si>
  <si>
    <t>Is your body mass index (BMI) between 25 and 50 kg/m²?</t>
  </si>
  <si>
    <t>Do you have type 1 diabetes, or have you used glucose-lowering medicines other than metformin in the past 3 months?</t>
  </si>
  <si>
    <t>Have you had diabetic ketoacidosis or a severe low blood sugar (hypoglycemia) event in the past 6 months?</t>
  </si>
  <si>
    <t>Have you had a serious heart problem, such as advanced heart failure, a recent heart attack, stroke, or a heart procedure within the past 3 months?</t>
  </si>
  <si>
    <t>Have you or a family member ever been diagnosed with medullary thyroid cancer or multiple endocrine neoplasia type 2?</t>
  </si>
  <si>
    <t>confusing: "multiple endocrine neoplasia type 2" is not explained</t>
  </si>
  <si>
    <t>NCT05322213</t>
  </si>
  <si>
    <t>Males and Females 21-70 years old at the time of screening.</t>
  </si>
  <si>
    <t>Are you between 21 and 70 years old?</t>
  </si>
  <si>
    <t>Have a clinical diagnosis of Type 2 Diabetes on a stable medication regimen for at least 3 months.</t>
  </si>
  <si>
    <t>Have you been diagnosed with type 2 diabetes and stayed on the same diabetes medicines for at least 3 months?</t>
  </si>
  <si>
    <t>BMI &gt; 25 kg/m2).</t>
  </si>
  <si>
    <t>Is your BMI (body mass index, based on your height and weight) higher than 25 kg/m2?</t>
  </si>
  <si>
    <t>HbA1c &lt; 10%).</t>
  </si>
  <si>
    <t>Is your HbA1c (a blood test showing your average blood sugar over about 3 months) below 10%?</t>
  </si>
  <si>
    <t>Current use of insulin to treat Type 2 Diabetes.</t>
  </si>
  <si>
    <t>Do you use insulin to treat your type 2 diabetes?</t>
  </si>
  <si>
    <t>Use of any THC containing products within 30 days prior to the screening visit.</t>
  </si>
  <si>
    <t>Have you used any products containing THC (the active ingredient in cannabis or marijuana) in the past 30 days?</t>
  </si>
  <si>
    <t>Current use of tobacco products.</t>
  </si>
  <si>
    <t>Do you currently use tobacco products?</t>
  </si>
  <si>
    <t>Individuals who are pregnant or lactating/breastfeeding.</t>
  </si>
  <si>
    <t>Are you pregnant or breastfeeding?</t>
  </si>
  <si>
    <t>No prior history of myocardial infarction, stroke or heart failure.</t>
  </si>
  <si>
    <t>Have you ever had a heart attack, a stroke, or heart failure?</t>
  </si>
  <si>
    <t>unclear source: the trial lists "No prior history of..." under exclusions (a double negative written by the trial). The AI's reading is probably what they meant</t>
  </si>
  <si>
    <t>History of seizures, head trauma, or other history of CNS insult that could predispose the participant to seizures.</t>
  </si>
  <si>
    <t>Have you ever had seizures, a head injury, or another brain injury?</t>
  </si>
  <si>
    <t>dropped qualifier: original only excludes head injuries "that could predispose to seizures"; any head injury (e.g., a childhood concussion) would count</t>
  </si>
  <si>
    <t>History of clinically significant adverse events associated with cannabis intoxication (e.g., severe anxiety and panic, paranoia and psychosis, sustained tachycardia, or severe hypotension).</t>
  </si>
  <si>
    <t>Have you ever had a bad reaction to cannabis, such as severe anxiety or panic, paranoia, a fast heartbeat, or very low blood pressure?</t>
  </si>
  <si>
    <t>Have you been diagnosed with type 2 diabetes and been on a stable medicine plan for at least 3 months?</t>
  </si>
  <si>
    <t>Is your BMI (body mass index) more than 25 kg/m2?</t>
  </si>
  <si>
    <t>Is your most recent A1c (a blood test showing your average blood sugar over about 3 months) below 10%?</t>
  </si>
  <si>
    <t>Do you currently use insulin to treat your type 2 diabetes?</t>
  </si>
  <si>
    <t>Have you used any THC-containing products (such as marijuana) in the past 30 days?</t>
  </si>
  <si>
    <t>Have you had a heart attack, stroke, or heart failure in the past?</t>
  </si>
  <si>
    <t>unclear source: same double negative in the trial's text as the Opus version</t>
  </si>
  <si>
    <t>Have you ever had a seizure or a head injury that could make you more likely to have seizures?</t>
  </si>
  <si>
    <t>NCT06884059</t>
  </si>
  <si>
    <t>Age: 18-75 years old</t>
  </si>
  <si>
    <t>Participants with T2DM with A1c between 6.5 and 9.0 % and on stable doses of medications who are weight-bearing and self-ambulatory.</t>
  </si>
  <si>
    <t>Do you have type 2 diabetes with an A1c (a blood test showing your average blood sugar over about 3 months) between 6.5% and 9.0%?</t>
  </si>
  <si>
    <t>missing requirement: leaves out "stable doses of medications" and being able to walk on your own</t>
  </si>
  <si>
    <t>Willingness to use smartphone for research procedures (Apple iOS or Android OS)</t>
  </si>
  <si>
    <t>Are you willing to use a smartphone (Apple iOS or Android) for study tasks?</t>
  </si>
  <si>
    <t>Participants with Type1DM and T2DM who are taking insulin, sulfonylureas, or have an HbA1c &gt; 9 %.</t>
  </si>
  <si>
    <t>Do you take insulin or sulfonylurea pills (such as glipizide, glyburide, or glimepiride)?</t>
  </si>
  <si>
    <t>Known history of type I diabetes.</t>
  </si>
  <si>
    <t>Have you been told you have type 1 diabetes?</t>
  </si>
  <si>
    <t>Active tobacco or illicit drug use</t>
  </si>
  <si>
    <t>Do you currently use tobacco or illicit drugs?</t>
  </si>
  <si>
    <t>Pregnant or breastfeeding individuals.</t>
  </si>
  <si>
    <t>Currently enrolled in a weight-loss or weight-management program,</t>
  </si>
  <si>
    <t>Are you currently taking part in a weight-loss or weight-management program?</t>
  </si>
  <si>
    <t>History of eating disorder(s).</t>
  </si>
  <si>
    <t>Have you ever had an eating disorder?</t>
  </si>
  <si>
    <t>A major adverse cardiovascular event within the past 6 months such as acute coronary syndrome (ACS), percutaneous coronary intervention, coronary artery bypass graft surgery, hospitalization for congestive heart failure, stroke/transient ischemic attack (TIA).</t>
  </si>
  <si>
    <t>In the past 6 months, have you had a heart attack, heart stent or bypass surgery, a hospital stay for heart failure, or a stroke or mini-stroke (TIA)?</t>
  </si>
  <si>
    <t>Shift workers with variable (e.g., nocturnal) hours.</t>
  </si>
  <si>
    <t>Do you work night shifts or shifts with changing hours?</t>
  </si>
  <si>
    <t>Do you have type 2 diabetes with an A1c (a blood test showing average blood sugar over about 3 months) between 6.5% and 9.0%?</t>
  </si>
  <si>
    <t>Systolic BP greater than 160 mmHg and/or Diastolic BP greater than 110 mmHg (with or without treatment/medication)</t>
  </si>
  <si>
    <t>Has your blood pressure recently been higher than 160/110 mmHg (with or without treatment)?</t>
  </si>
  <si>
    <t>Do you currently use tobacco or illegal drugs?</t>
  </si>
  <si>
    <t>Are you currently enrolled in a weight-loss or weight-management program?</t>
  </si>
  <si>
    <t>History of major adverse cardiovascular events within the past 1 year (acute coronary syndrome (ACS), percutaneous coronary intervention, coronary artery bypass graft surgery, hospitalization for congestive heart failure, stroke/transient ischemic attack (TIA)).</t>
  </si>
  <si>
    <t>Have you had a major heart problem (such as a heart attack, stroke, or heart failure hospitalization) within the past year?</t>
  </si>
  <si>
    <t>NCT07724340</t>
  </si>
  <si>
    <t>Female and male participants ≥18 years of age at time of consent</t>
  </si>
  <si>
    <t>BMI g ≥27.0 kg/m2 at screening.</t>
  </si>
  <si>
    <t>Is your BMI (body mass index, a measure based on your height and weight) 27.0 kg/m2 or higher?</t>
  </si>
  <si>
    <t>HbA1c ≥7 and ≤10% (53-86 mmol/mol) at screening.</t>
  </si>
  <si>
    <t>Is your HbA1c (a blood test showing your average blood sugar over about 3 months) between 7% and 10%?</t>
  </si>
  <si>
    <t>Diagnosis of type 2 diabetes mellitus for ≥ 180 days prior to screening.</t>
  </si>
  <si>
    <t>Have you had type 2 diabetes for at least 180 days (about 6 months)?</t>
  </si>
  <si>
    <t>Either treated with diet and exercise alone or on stable (at least 90 days prior to screening) treatment with metformin, a sodium-glucose cotransporter 2 (SGLT2) inhibitor, sulfonylurea, and/or DPP4 inhibitor as monotherapy or combination therapy, per approved local label.</t>
  </si>
  <si>
    <t>Do you manage your diabetes with diet and exercise alone, or with metformin, an SGLT2 inhibitor, a sulfonylurea, and/or a DPP4 inhibitor that you have taken without change for at least 90 days?</t>
  </si>
  <si>
    <t>confusing: drug class names (SGLT2 inhibitor, sulfonylurea, DPP4 inhibitor) are not explained</t>
  </si>
  <si>
    <t>Non-lactating and has a negative pregnancy test at screening and baseline</t>
  </si>
  <si>
    <t>Are you currently breastfeeding?</t>
  </si>
  <si>
    <t>missing requirement: original also requires a negative pregnancy test; only asks about breastfeeding</t>
  </si>
  <si>
    <t>Participant has had gastric bypass or other bariatric surgery or endoscopic procedure or any metabolic procedures (e.g. duodenal resurfacing, intragastric balloon, etc.) except for the following:</t>
  </si>
  <si>
    <t>Have you had gastric bypass, another weight loss surgery, or a similar stomach or intestine procedure?</t>
  </si>
  <si>
    <t>dropped qualifier: the original ends "except for the following:" and lists 4 exceptions (e.g., a gastric band removed over 1 year ago). The question leaves them out. [Correction added by Claude while grading version 2 - I missed this in the first pass]</t>
  </si>
  <si>
    <t>Participant has had a self-reported or medically recorded change in body weight &gt; 5% within 3 months of screening OR has recorded change in body weight &gt;3% between screening and randomization.</t>
  </si>
  <si>
    <t>Has your body weight changed by more than 5% in the past 3 months?</t>
  </si>
  <si>
    <t>Participant is currently using insulin or used insulin within 3 months before screening.</t>
  </si>
  <si>
    <t>Are you using insulin now, or have you used it in the past 3 months?</t>
  </si>
  <si>
    <t>Participant is currently using or used within 3 months before screening any weight reducing medication including pramlintide, sibutramine, orlistat, zonisamide, topiramate, phentermine, naltrexone, bupropion.</t>
  </si>
  <si>
    <t>Have you used any weight loss medicine (such as orlistat, topiramate, phentermine, naltrexone, or bupropion) in the past 3 months?</t>
  </si>
  <si>
    <t>Participant is currently using or used within 6 months before screening any medication that contains a GLP-1R agonist component or a GIPR modulator (either by prescription or as part of a clinical study)</t>
  </si>
  <si>
    <t>Have you used a GLP-1 medicine (such as semaglutide, liraglutide, dulaglutide, or tirzepatide) in the past 6 months?</t>
  </si>
  <si>
    <t>Participant's current alcohol intake exceeds 14 units/week for men or 7 units/week for women (1 unit = half pint of beer, 1 glass of wine, 1 measure of spirits).</t>
  </si>
  <si>
    <t>Do you drink more than 14 units of alcohol a week (if you are a man) or more than 7 units a week (if you are a woman)? One unit is half a pint of beer, one glass of wine, or one measure of spirits.</t>
  </si>
  <si>
    <t>Participant has a history of major psychiatric disorders within 5 years or lifetime history of suicide attempt.</t>
  </si>
  <si>
    <t>Have you had a major mental health condition in the past 5 years, or ever attempted suicide?</t>
  </si>
  <si>
    <t>Participant with a personal or family history of medullary thyroid carcinoma or with multiple endocrine neoplasia (MEN) syndrome type 2.</t>
  </si>
  <si>
    <t>Do you or a family member have a history of medullary thyroid cancer or multiple endocrine neoplasia (MEN) syndrome type 2?</t>
  </si>
  <si>
    <t>confusing: "multiple endocrine neoplasia (MEN) syndrome type 2" is not explained</t>
  </si>
  <si>
    <t>Are you 18 years of age or older?</t>
  </si>
  <si>
    <t>Is your BMI (body mass index) 27.0 kg/m2 or higher?</t>
  </si>
  <si>
    <t>Is your most recent A1c (a blood test showing your average blood sugar over about 3 months) between 7% and 10%?</t>
  </si>
  <si>
    <t>Have you been diagnosed with type 2 diabetes for 180 days or longer?</t>
  </si>
  <si>
    <t>Are you currently using insulin, or have you used insulin within the past 3 months?</t>
  </si>
  <si>
    <t>Have you had gastric bypass or other weight-loss (bariatric) surgery or procedures?</t>
  </si>
  <si>
    <t>Does your current alcohol intake exceed 14 drinks per week (if you are male) or 7 drinks per week (if you are female)?</t>
  </si>
  <si>
    <t>changed meaning: original says 14 "units" (a pint of beer = 2 units); question says 14 "drinks"</t>
  </si>
  <si>
    <t>Participant has uncontrolled hypertension at screening (SBP above or equal to 160 mmHg and/or diastolic blood pressure above or equal to 100 mmHg).</t>
  </si>
  <si>
    <t>Do you have uncontrolled high blood pressure (top number 160 mmHg or higher, or bottom number 100 mmHg or higher)?</t>
  </si>
  <si>
    <t>Have you had a major psychiatric disorder in the past 5 years, or attempted suicide at any point in your life?</t>
  </si>
  <si>
    <t>Measure</t>
  </si>
  <si>
    <t>Questions graded</t>
  </si>
  <si>
    <t>Accurate = N</t>
  </si>
  <si>
    <t>Easy to understand = N</t>
  </si>
  <si>
    <t>Counts against = N</t>
  </si>
  <si>
    <t>Questions with any N</t>
  </si>
  <si>
    <t>% of questions fully correct</t>
  </si>
  <si>
    <t>Dropped qualifier (count in notes)</t>
  </si>
  <si>
    <t>Missing requirement (count in notes)</t>
  </si>
  <si>
    <t>Confusing (count in notes)</t>
  </si>
  <si>
    <t>Average reading grade: original</t>
  </si>
  <si>
    <t>Average reading grade: AI question</t>
  </si>
  <si>
    <t>Rows you reviewed (agrees filled in)</t>
  </si>
  <si>
    <t>Rows you disagreed with</t>
  </si>
  <si>
    <t>Counts update automatically as you edit the Grades tab. Note counts search the notes text for the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</si>
</sst>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CC"/>
        <bgColor rgb="FFFDE2E1"/>
      </patternFill>
    </fill>
    <fill>
      <patternFill patternType="solid">
        <fgColor rgb="FFFDE2E1"/>
        <bgColor rgb="FFFFF7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2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8" fillId="0" borderId="0" xfId="0" applyFont="1"/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5.7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2" t="s">
        <v>1</v>
      </c>
    </row>
    <row r="4" spans="1:1" ht="15" customHeight="1" x14ac:dyDescent="0.2">
      <c r="A4" s="2"/>
    </row>
    <row r="5" spans="1:1" ht="15" customHeight="1" x14ac:dyDescent="0.2">
      <c r="A5" s="2" t="s">
        <v>2</v>
      </c>
    </row>
    <row r="6" spans="1:1" ht="15" customHeight="1" x14ac:dyDescent="0.2">
      <c r="A6" s="2" t="s">
        <v>3</v>
      </c>
    </row>
    <row r="7" spans="1:1" ht="15" customHeight="1" x14ac:dyDescent="0.2">
      <c r="A7" s="2" t="s">
        <v>4</v>
      </c>
    </row>
    <row r="8" spans="1:1" ht="15" customHeight="1" x14ac:dyDescent="0.2">
      <c r="A8" s="2" t="s">
        <v>5</v>
      </c>
    </row>
    <row r="9" spans="1:1" ht="15" customHeight="1" x14ac:dyDescent="0.2">
      <c r="A9" s="2" t="s">
        <v>6</v>
      </c>
    </row>
    <row r="10" spans="1:1" ht="15" customHeight="1" x14ac:dyDescent="0.2">
      <c r="A10" s="2"/>
    </row>
    <row r="11" spans="1:1" ht="15" customHeight="1" x14ac:dyDescent="0.2">
      <c r="A11" s="3" t="s">
        <v>7</v>
      </c>
    </row>
    <row r="12" spans="1:1" ht="15" customHeight="1" x14ac:dyDescent="0.2">
      <c r="A12" s="2" t="s">
        <v>8</v>
      </c>
    </row>
    <row r="13" spans="1:1" ht="15" customHeight="1" x14ac:dyDescent="0.2">
      <c r="A13" s="2" t="s">
        <v>9</v>
      </c>
    </row>
    <row r="14" spans="1:1" ht="15" customHeight="1" x14ac:dyDescent="0.2">
      <c r="A14" s="2" t="s">
        <v>10</v>
      </c>
    </row>
    <row r="15" spans="1:1" ht="15" customHeight="1" x14ac:dyDescent="0.2">
      <c r="A15" s="2"/>
    </row>
    <row r="16" spans="1:1" ht="15" customHeight="1" x14ac:dyDescent="0.2">
      <c r="A16" s="3" t="s">
        <v>11</v>
      </c>
    </row>
    <row r="17" spans="1:1" ht="15" customHeight="1" x14ac:dyDescent="0.2">
      <c r="A17" s="2" t="s">
        <v>12</v>
      </c>
    </row>
    <row r="18" spans="1:1" ht="15" customHeight="1" x14ac:dyDescent="0.2">
      <c r="A18" s="2"/>
    </row>
    <row r="19" spans="1:1" ht="26.25" customHeight="1" x14ac:dyDescent="0.2">
      <c r="A19" s="2" t="s">
        <v>13</v>
      </c>
    </row>
    <row r="20" spans="1:1" ht="15" customHeight="1" x14ac:dyDescent="0.2">
      <c r="A20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8"/>
  <sheetViews>
    <sheetView tabSelected="1" topLeftCell="E1" zoomScaleNormal="100" workbookViewId="0">
      <pane ySplit="1" topLeftCell="A167" activePane="bottomLeft" state="frozen"/>
      <selection activeCell="F1" sqref="F1"/>
      <selection pane="bottomLeft" activeCell="P175" sqref="P175"/>
    </sheetView>
  </sheetViews>
  <sheetFormatPr baseColWidth="10" defaultColWidth="8.6640625" defaultRowHeight="15" x14ac:dyDescent="0.2"/>
  <cols>
    <col min="1" max="1" width="13" customWidth="1"/>
    <col min="2" max="2" width="15" customWidth="1"/>
    <col min="3" max="3" width="9" customWidth="1"/>
    <col min="4" max="4" width="11" customWidth="1"/>
    <col min="5" max="5" width="56.1640625" customWidth="1"/>
    <col min="6" max="6" width="50" customWidth="1"/>
    <col min="7" max="7" width="12" customWidth="1"/>
    <col min="8" max="10" width="10" customWidth="1"/>
    <col min="11" max="12" width="11" customWidth="1"/>
    <col min="13" max="13" width="13" customWidth="1"/>
    <col min="14" max="14" width="55" customWidth="1"/>
    <col min="15" max="15" width="11" customWidth="1"/>
    <col min="16" max="16" width="12" customWidth="1"/>
    <col min="17" max="17" width="35" customWidth="1"/>
  </cols>
  <sheetData>
    <row r="1" spans="1:17" ht="45" customHeight="1" x14ac:dyDescent="0.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</row>
    <row r="2" spans="1:17" ht="15" customHeight="1" x14ac:dyDescent="0.2">
      <c r="A2" s="5" t="s">
        <v>32</v>
      </c>
      <c r="B2" s="5" t="s">
        <v>33</v>
      </c>
      <c r="C2" s="5">
        <v>1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37</v>
      </c>
      <c r="I2" s="5">
        <v>-2.2000000000000002</v>
      </c>
      <c r="J2" s="5">
        <v>0.8</v>
      </c>
      <c r="K2" s="5" t="s">
        <v>38</v>
      </c>
      <c r="L2" s="5" t="s">
        <v>38</v>
      </c>
      <c r="M2" s="5" t="s">
        <v>38</v>
      </c>
      <c r="N2" s="5"/>
      <c r="O2" s="5" t="s">
        <v>39</v>
      </c>
      <c r="P2" s="6"/>
      <c r="Q2" s="6"/>
    </row>
    <row r="3" spans="1:17" ht="23.25" customHeight="1" x14ac:dyDescent="0.2">
      <c r="A3" s="5" t="s">
        <v>32</v>
      </c>
      <c r="B3" s="5" t="s">
        <v>33</v>
      </c>
      <c r="C3" s="5">
        <v>2</v>
      </c>
      <c r="D3" s="5" t="s">
        <v>34</v>
      </c>
      <c r="E3" s="5" t="s">
        <v>40</v>
      </c>
      <c r="F3" s="5" t="s">
        <v>41</v>
      </c>
      <c r="G3" s="5" t="s">
        <v>37</v>
      </c>
      <c r="H3" s="5" t="s">
        <v>37</v>
      </c>
      <c r="I3" s="5">
        <v>7.6</v>
      </c>
      <c r="J3" s="5">
        <v>14.6</v>
      </c>
      <c r="K3" s="5" t="s">
        <v>38</v>
      </c>
      <c r="L3" s="5" t="s">
        <v>38</v>
      </c>
      <c r="M3" s="5" t="s">
        <v>38</v>
      </c>
      <c r="N3" s="5"/>
      <c r="O3" s="5" t="s">
        <v>39</v>
      </c>
      <c r="P3" s="6"/>
      <c r="Q3" s="6"/>
    </row>
    <row r="4" spans="1:17" ht="23.25" customHeight="1" x14ac:dyDescent="0.2">
      <c r="A4" s="5" t="s">
        <v>32</v>
      </c>
      <c r="B4" s="5" t="s">
        <v>33</v>
      </c>
      <c r="C4" s="5">
        <v>3</v>
      </c>
      <c r="D4" s="5" t="s">
        <v>34</v>
      </c>
      <c r="E4" s="5" t="s">
        <v>42</v>
      </c>
      <c r="F4" s="5" t="s">
        <v>43</v>
      </c>
      <c r="G4" s="5" t="s">
        <v>37</v>
      </c>
      <c r="H4" s="5" t="s">
        <v>37</v>
      </c>
      <c r="I4" s="5">
        <v>15.8</v>
      </c>
      <c r="J4" s="5">
        <v>12.4</v>
      </c>
      <c r="K4" s="5" t="s">
        <v>38</v>
      </c>
      <c r="L4" s="5" t="s">
        <v>38</v>
      </c>
      <c r="M4" s="5" t="s">
        <v>38</v>
      </c>
      <c r="N4" s="5"/>
      <c r="O4" s="5" t="s">
        <v>39</v>
      </c>
      <c r="P4" s="6"/>
      <c r="Q4" s="6"/>
    </row>
    <row r="5" spans="1:17" ht="15" customHeight="1" x14ac:dyDescent="0.2">
      <c r="A5" s="5" t="s">
        <v>32</v>
      </c>
      <c r="B5" s="5" t="s">
        <v>33</v>
      </c>
      <c r="C5" s="5">
        <v>4</v>
      </c>
      <c r="D5" s="5" t="s">
        <v>34</v>
      </c>
      <c r="E5" s="5" t="s">
        <v>44</v>
      </c>
      <c r="F5" s="5" t="s">
        <v>45</v>
      </c>
      <c r="G5" s="5" t="s">
        <v>37</v>
      </c>
      <c r="H5" s="5" t="s">
        <v>37</v>
      </c>
      <c r="I5" s="5">
        <v>6.6</v>
      </c>
      <c r="J5" s="5">
        <v>2.2999999999999998</v>
      </c>
      <c r="K5" s="5" t="s">
        <v>38</v>
      </c>
      <c r="L5" s="5" t="s">
        <v>38</v>
      </c>
      <c r="M5" s="5" t="s">
        <v>38</v>
      </c>
      <c r="N5" s="5"/>
      <c r="O5" s="5" t="s">
        <v>39</v>
      </c>
      <c r="P5" s="6"/>
      <c r="Q5" s="6"/>
    </row>
    <row r="6" spans="1:17" ht="23.25" customHeight="1" x14ac:dyDescent="0.2">
      <c r="A6" s="5" t="s">
        <v>32</v>
      </c>
      <c r="B6" s="5" t="s">
        <v>33</v>
      </c>
      <c r="C6" s="5">
        <v>5</v>
      </c>
      <c r="D6" s="5" t="s">
        <v>34</v>
      </c>
      <c r="E6" s="5" t="s">
        <v>46</v>
      </c>
      <c r="F6" s="5" t="s">
        <v>47</v>
      </c>
      <c r="G6" s="5" t="s">
        <v>37</v>
      </c>
      <c r="H6" s="5" t="s">
        <v>37</v>
      </c>
      <c r="I6" s="5">
        <v>7.6</v>
      </c>
      <c r="J6" s="5">
        <v>6.7</v>
      </c>
      <c r="K6" s="5" t="s">
        <v>38</v>
      </c>
      <c r="L6" s="5" t="s">
        <v>38</v>
      </c>
      <c r="M6" s="5" t="s">
        <v>38</v>
      </c>
      <c r="N6" s="5"/>
      <c r="O6" s="5" t="s">
        <v>39</v>
      </c>
      <c r="P6" s="6"/>
      <c r="Q6" s="6"/>
    </row>
    <row r="7" spans="1:17" ht="23.25" customHeight="1" x14ac:dyDescent="0.2">
      <c r="A7" s="7" t="s">
        <v>32</v>
      </c>
      <c r="B7" s="7" t="s">
        <v>33</v>
      </c>
      <c r="C7" s="7">
        <v>6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37</v>
      </c>
      <c r="I7" s="7">
        <v>15.6</v>
      </c>
      <c r="J7" s="7">
        <v>4.5</v>
      </c>
      <c r="K7" s="7" t="s">
        <v>52</v>
      </c>
      <c r="L7" s="7" t="s">
        <v>38</v>
      </c>
      <c r="M7" s="7" t="s">
        <v>38</v>
      </c>
      <c r="N7" s="7" t="s">
        <v>53</v>
      </c>
      <c r="O7" s="7" t="s">
        <v>39</v>
      </c>
      <c r="P7" s="8" t="s">
        <v>38</v>
      </c>
      <c r="Q7" s="6"/>
    </row>
    <row r="8" spans="1:17" ht="23.25" customHeight="1" x14ac:dyDescent="0.2">
      <c r="A8" s="7" t="s">
        <v>32</v>
      </c>
      <c r="B8" s="7" t="s">
        <v>33</v>
      </c>
      <c r="C8" s="7">
        <v>7</v>
      </c>
      <c r="D8" s="7" t="s">
        <v>48</v>
      </c>
      <c r="E8" s="7" t="s">
        <v>49</v>
      </c>
      <c r="F8" s="7" t="s">
        <v>54</v>
      </c>
      <c r="G8" s="7" t="s">
        <v>51</v>
      </c>
      <c r="H8" s="7" t="s">
        <v>37</v>
      </c>
      <c r="I8" s="7">
        <v>15.6</v>
      </c>
      <c r="J8" s="7">
        <v>7.6</v>
      </c>
      <c r="K8" s="7" t="s">
        <v>52</v>
      </c>
      <c r="L8" s="7" t="s">
        <v>38</v>
      </c>
      <c r="M8" s="7" t="s">
        <v>38</v>
      </c>
      <c r="N8" s="7" t="s">
        <v>55</v>
      </c>
      <c r="O8" s="7" t="s">
        <v>39</v>
      </c>
      <c r="P8" s="8" t="s">
        <v>38</v>
      </c>
      <c r="Q8" s="6"/>
    </row>
    <row r="9" spans="1:17" ht="15" customHeight="1" x14ac:dyDescent="0.2">
      <c r="A9" s="5" t="s">
        <v>32</v>
      </c>
      <c r="B9" s="5" t="s">
        <v>56</v>
      </c>
      <c r="C9" s="5">
        <v>1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37</v>
      </c>
      <c r="I9" s="5">
        <v>-2.2000000000000002</v>
      </c>
      <c r="J9" s="5">
        <v>0.8</v>
      </c>
      <c r="K9" s="5" t="s">
        <v>38</v>
      </c>
      <c r="L9" s="5" t="s">
        <v>38</v>
      </c>
      <c r="M9" s="5" t="s">
        <v>38</v>
      </c>
      <c r="N9" s="5"/>
      <c r="O9" s="5" t="s">
        <v>39</v>
      </c>
      <c r="P9" s="6"/>
      <c r="Q9" s="6"/>
    </row>
    <row r="10" spans="1:17" ht="23.25" customHeight="1" x14ac:dyDescent="0.2">
      <c r="A10" s="5" t="s">
        <v>32</v>
      </c>
      <c r="B10" s="5" t="s">
        <v>56</v>
      </c>
      <c r="C10" s="5">
        <v>2</v>
      </c>
      <c r="D10" s="5" t="s">
        <v>34</v>
      </c>
      <c r="E10" s="5" t="s">
        <v>40</v>
      </c>
      <c r="F10" s="5" t="s">
        <v>57</v>
      </c>
      <c r="G10" s="5" t="s">
        <v>37</v>
      </c>
      <c r="H10" s="5" t="s">
        <v>37</v>
      </c>
      <c r="I10" s="5">
        <v>7.6</v>
      </c>
      <c r="J10" s="5">
        <v>14.6</v>
      </c>
      <c r="K10" s="5" t="s">
        <v>38</v>
      </c>
      <c r="L10" s="5" t="s">
        <v>38</v>
      </c>
      <c r="M10" s="5" t="s">
        <v>38</v>
      </c>
      <c r="N10" s="5"/>
      <c r="O10" s="5" t="s">
        <v>39</v>
      </c>
      <c r="P10" s="6"/>
      <c r="Q10" s="6"/>
    </row>
    <row r="11" spans="1:17" ht="23.25" customHeight="1" x14ac:dyDescent="0.2">
      <c r="A11" s="5" t="s">
        <v>32</v>
      </c>
      <c r="B11" s="5" t="s">
        <v>56</v>
      </c>
      <c r="C11" s="5">
        <v>3</v>
      </c>
      <c r="D11" s="5" t="s">
        <v>34</v>
      </c>
      <c r="E11" s="5" t="s">
        <v>42</v>
      </c>
      <c r="F11" s="5" t="s">
        <v>58</v>
      </c>
      <c r="G11" s="5" t="s">
        <v>37</v>
      </c>
      <c r="H11" s="5" t="s">
        <v>37</v>
      </c>
      <c r="I11" s="5">
        <v>15.8</v>
      </c>
      <c r="J11" s="5">
        <v>11.2</v>
      </c>
      <c r="K11" s="5" t="s">
        <v>38</v>
      </c>
      <c r="L11" s="5" t="s">
        <v>38</v>
      </c>
      <c r="M11" s="5" t="s">
        <v>38</v>
      </c>
      <c r="N11" s="5"/>
      <c r="O11" s="5" t="s">
        <v>39</v>
      </c>
      <c r="P11" s="6"/>
      <c r="Q11" s="6"/>
    </row>
    <row r="12" spans="1:17" ht="15" customHeight="1" x14ac:dyDescent="0.2">
      <c r="A12" s="5" t="s">
        <v>32</v>
      </c>
      <c r="B12" s="5" t="s">
        <v>56</v>
      </c>
      <c r="C12" s="5">
        <v>4</v>
      </c>
      <c r="D12" s="5" t="s">
        <v>34</v>
      </c>
      <c r="E12" s="5" t="s">
        <v>44</v>
      </c>
      <c r="F12" s="5" t="s">
        <v>45</v>
      </c>
      <c r="G12" s="5" t="s">
        <v>37</v>
      </c>
      <c r="H12" s="5" t="s">
        <v>37</v>
      </c>
      <c r="I12" s="5">
        <v>6.6</v>
      </c>
      <c r="J12" s="5">
        <v>2.2999999999999998</v>
      </c>
      <c r="K12" s="5" t="s">
        <v>38</v>
      </c>
      <c r="L12" s="5" t="s">
        <v>38</v>
      </c>
      <c r="M12" s="5" t="s">
        <v>38</v>
      </c>
      <c r="N12" s="5"/>
      <c r="O12" s="5" t="s">
        <v>39</v>
      </c>
      <c r="P12" s="6"/>
      <c r="Q12" s="6"/>
    </row>
    <row r="13" spans="1:17" ht="23.25" customHeight="1" x14ac:dyDescent="0.2">
      <c r="A13" s="5" t="s">
        <v>32</v>
      </c>
      <c r="B13" s="5" t="s">
        <v>56</v>
      </c>
      <c r="C13" s="5">
        <v>5</v>
      </c>
      <c r="D13" s="5" t="s">
        <v>34</v>
      </c>
      <c r="E13" s="5" t="s">
        <v>46</v>
      </c>
      <c r="F13" s="5" t="s">
        <v>59</v>
      </c>
      <c r="G13" s="5" t="s">
        <v>37</v>
      </c>
      <c r="H13" s="5" t="s">
        <v>37</v>
      </c>
      <c r="I13" s="5">
        <v>7.6</v>
      </c>
      <c r="J13" s="5">
        <v>6.8</v>
      </c>
      <c r="K13" s="5" t="s">
        <v>38</v>
      </c>
      <c r="L13" s="5" t="s">
        <v>38</v>
      </c>
      <c r="M13" s="5" t="s">
        <v>38</v>
      </c>
      <c r="N13" s="5"/>
      <c r="O13" s="5" t="s">
        <v>39</v>
      </c>
      <c r="P13" s="6"/>
      <c r="Q13" s="6"/>
    </row>
    <row r="14" spans="1:17" ht="23.25" customHeight="1" x14ac:dyDescent="0.2">
      <c r="A14" s="5" t="s">
        <v>32</v>
      </c>
      <c r="B14" s="5" t="s">
        <v>56</v>
      </c>
      <c r="C14" s="5">
        <v>6</v>
      </c>
      <c r="D14" s="5" t="s">
        <v>48</v>
      </c>
      <c r="E14" s="5" t="s">
        <v>49</v>
      </c>
      <c r="F14" s="5" t="s">
        <v>60</v>
      </c>
      <c r="G14" s="5" t="s">
        <v>51</v>
      </c>
      <c r="H14" s="5" t="s">
        <v>37</v>
      </c>
      <c r="I14" s="5">
        <v>15.6</v>
      </c>
      <c r="J14" s="5">
        <v>11.8</v>
      </c>
      <c r="K14" s="5" t="s">
        <v>38</v>
      </c>
      <c r="L14" s="5" t="s">
        <v>38</v>
      </c>
      <c r="M14" s="5" t="s">
        <v>38</v>
      </c>
      <c r="N14" s="5"/>
      <c r="O14" s="5" t="s">
        <v>39</v>
      </c>
      <c r="P14" s="6"/>
      <c r="Q14" s="6"/>
    </row>
    <row r="15" spans="1:17" ht="23.25" customHeight="1" x14ac:dyDescent="0.2">
      <c r="A15" s="5" t="s">
        <v>61</v>
      </c>
      <c r="B15" s="5" t="s">
        <v>33</v>
      </c>
      <c r="C15" s="5">
        <v>1</v>
      </c>
      <c r="D15" s="5" t="s">
        <v>34</v>
      </c>
      <c r="E15" s="5" t="s">
        <v>62</v>
      </c>
      <c r="F15" s="5" t="s">
        <v>63</v>
      </c>
      <c r="G15" s="5" t="s">
        <v>37</v>
      </c>
      <c r="H15" s="5" t="s">
        <v>37</v>
      </c>
      <c r="I15" s="5">
        <v>13.5</v>
      </c>
      <c r="J15" s="5">
        <v>7.8</v>
      </c>
      <c r="K15" s="5" t="s">
        <v>38</v>
      </c>
      <c r="L15" s="5" t="s">
        <v>38</v>
      </c>
      <c r="M15" s="5" t="s">
        <v>38</v>
      </c>
      <c r="N15" s="5"/>
      <c r="O15" s="5" t="s">
        <v>39</v>
      </c>
      <c r="P15" s="6"/>
      <c r="Q15" s="6"/>
    </row>
    <row r="16" spans="1:17" ht="15" customHeight="1" x14ac:dyDescent="0.2">
      <c r="A16" s="5" t="s">
        <v>61</v>
      </c>
      <c r="B16" s="5" t="s">
        <v>33</v>
      </c>
      <c r="C16" s="5">
        <v>2</v>
      </c>
      <c r="D16" s="5" t="s">
        <v>34</v>
      </c>
      <c r="E16" s="5" t="s">
        <v>64</v>
      </c>
      <c r="F16" s="5" t="s">
        <v>65</v>
      </c>
      <c r="G16" s="5" t="s">
        <v>37</v>
      </c>
      <c r="H16" s="5" t="s">
        <v>37</v>
      </c>
      <c r="I16" s="5">
        <v>14.3</v>
      </c>
      <c r="J16" s="5">
        <v>6.7</v>
      </c>
      <c r="K16" s="5" t="s">
        <v>38</v>
      </c>
      <c r="L16" s="5" t="s">
        <v>38</v>
      </c>
      <c r="M16" s="5" t="s">
        <v>38</v>
      </c>
      <c r="N16" s="5"/>
      <c r="O16" s="5" t="s">
        <v>39</v>
      </c>
      <c r="P16" s="6"/>
      <c r="Q16" s="6"/>
    </row>
    <row r="17" spans="1:17" ht="15" customHeight="1" x14ac:dyDescent="0.2">
      <c r="A17" s="5" t="s">
        <v>61</v>
      </c>
      <c r="B17" s="5" t="s">
        <v>33</v>
      </c>
      <c r="C17" s="5">
        <v>3</v>
      </c>
      <c r="D17" s="5" t="s">
        <v>34</v>
      </c>
      <c r="E17" s="5" t="s">
        <v>66</v>
      </c>
      <c r="F17" s="5" t="s">
        <v>67</v>
      </c>
      <c r="G17" s="5" t="s">
        <v>37</v>
      </c>
      <c r="H17" s="5" t="s">
        <v>37</v>
      </c>
      <c r="I17" s="5">
        <v>24.9</v>
      </c>
      <c r="J17" s="5">
        <v>7.2</v>
      </c>
      <c r="K17" s="5" t="s">
        <v>38</v>
      </c>
      <c r="L17" s="5" t="s">
        <v>38</v>
      </c>
      <c r="M17" s="5" t="s">
        <v>38</v>
      </c>
      <c r="N17" s="5"/>
      <c r="O17" s="5" t="s">
        <v>39</v>
      </c>
      <c r="P17" s="6"/>
      <c r="Q17" s="6"/>
    </row>
    <row r="18" spans="1:17" ht="23.25" customHeight="1" x14ac:dyDescent="0.2">
      <c r="A18" s="5" t="s">
        <v>61</v>
      </c>
      <c r="B18" s="5" t="s">
        <v>33</v>
      </c>
      <c r="C18" s="5">
        <v>4</v>
      </c>
      <c r="D18" s="5" t="s">
        <v>34</v>
      </c>
      <c r="E18" s="5" t="s">
        <v>68</v>
      </c>
      <c r="F18" s="5" t="s">
        <v>69</v>
      </c>
      <c r="G18" s="5" t="s">
        <v>37</v>
      </c>
      <c r="H18" s="5" t="s">
        <v>37</v>
      </c>
      <c r="I18" s="5">
        <v>5.2</v>
      </c>
      <c r="J18" s="5">
        <v>2.9</v>
      </c>
      <c r="K18" s="5" t="s">
        <v>38</v>
      </c>
      <c r="L18" s="5" t="s">
        <v>38</v>
      </c>
      <c r="M18" s="5" t="s">
        <v>38</v>
      </c>
      <c r="N18" s="5"/>
      <c r="O18" s="5" t="s">
        <v>39</v>
      </c>
      <c r="P18" s="6"/>
      <c r="Q18" s="6"/>
    </row>
    <row r="19" spans="1:17" ht="23.25" customHeight="1" x14ac:dyDescent="0.2">
      <c r="A19" s="5" t="s">
        <v>61</v>
      </c>
      <c r="B19" s="5" t="s">
        <v>33</v>
      </c>
      <c r="C19" s="5">
        <v>5</v>
      </c>
      <c r="D19" s="5" t="s">
        <v>34</v>
      </c>
      <c r="E19" s="5" t="s">
        <v>70</v>
      </c>
      <c r="F19" s="5" t="s">
        <v>71</v>
      </c>
      <c r="G19" s="5" t="s">
        <v>37</v>
      </c>
      <c r="H19" s="5" t="s">
        <v>37</v>
      </c>
      <c r="I19" s="5">
        <v>14.7</v>
      </c>
      <c r="J19" s="5">
        <v>6.9</v>
      </c>
      <c r="K19" s="5" t="s">
        <v>38</v>
      </c>
      <c r="L19" s="5" t="s">
        <v>38</v>
      </c>
      <c r="M19" s="5" t="s">
        <v>38</v>
      </c>
      <c r="N19" s="5"/>
      <c r="O19" s="5" t="s">
        <v>39</v>
      </c>
      <c r="P19" s="6"/>
      <c r="Q19" s="6"/>
    </row>
    <row r="20" spans="1:17" ht="34.5" customHeight="1" x14ac:dyDescent="0.2">
      <c r="A20" s="7" t="s">
        <v>61</v>
      </c>
      <c r="B20" s="7" t="s">
        <v>33</v>
      </c>
      <c r="C20" s="7">
        <v>6</v>
      </c>
      <c r="D20" s="7" t="s">
        <v>34</v>
      </c>
      <c r="E20" s="7" t="s">
        <v>72</v>
      </c>
      <c r="F20" s="7" t="s">
        <v>73</v>
      </c>
      <c r="G20" s="7" t="s">
        <v>37</v>
      </c>
      <c r="H20" s="7" t="s">
        <v>37</v>
      </c>
      <c r="I20" s="7">
        <v>6</v>
      </c>
      <c r="J20" s="7">
        <v>9.8000000000000007</v>
      </c>
      <c r="K20" s="7" t="s">
        <v>52</v>
      </c>
      <c r="L20" s="7" t="s">
        <v>38</v>
      </c>
      <c r="M20" s="7" t="s">
        <v>52</v>
      </c>
      <c r="N20" s="7" t="s">
        <v>74</v>
      </c>
      <c r="O20" s="7" t="s">
        <v>39</v>
      </c>
      <c r="P20" s="8" t="s">
        <v>38</v>
      </c>
      <c r="Q20" s="6"/>
    </row>
    <row r="21" spans="1:17" ht="15" customHeight="1" x14ac:dyDescent="0.2">
      <c r="A21" s="5" t="s">
        <v>61</v>
      </c>
      <c r="B21" s="5" t="s">
        <v>33</v>
      </c>
      <c r="C21" s="5">
        <v>7</v>
      </c>
      <c r="D21" s="5" t="s">
        <v>48</v>
      </c>
      <c r="E21" s="5" t="s">
        <v>75</v>
      </c>
      <c r="F21" s="5" t="s">
        <v>76</v>
      </c>
      <c r="G21" s="5" t="s">
        <v>51</v>
      </c>
      <c r="H21" s="5" t="s">
        <v>37</v>
      </c>
      <c r="I21" s="5">
        <v>9.1999999999999993</v>
      </c>
      <c r="J21" s="5">
        <v>6.7</v>
      </c>
      <c r="K21" s="5" t="s">
        <v>38</v>
      </c>
      <c r="L21" s="5" t="s">
        <v>38</v>
      </c>
      <c r="M21" s="5" t="s">
        <v>38</v>
      </c>
      <c r="N21" s="5"/>
      <c r="O21" s="5" t="s">
        <v>39</v>
      </c>
      <c r="P21" s="6"/>
      <c r="Q21" s="6"/>
    </row>
    <row r="22" spans="1:17" ht="23.25" customHeight="1" x14ac:dyDescent="0.2">
      <c r="A22" s="7" t="s">
        <v>61</v>
      </c>
      <c r="B22" s="7" t="s">
        <v>33</v>
      </c>
      <c r="C22" s="7">
        <v>8</v>
      </c>
      <c r="D22" s="7" t="s">
        <v>48</v>
      </c>
      <c r="E22" s="7" t="s">
        <v>77</v>
      </c>
      <c r="F22" s="7" t="s">
        <v>78</v>
      </c>
      <c r="G22" s="7" t="s">
        <v>51</v>
      </c>
      <c r="H22" s="7" t="s">
        <v>37</v>
      </c>
      <c r="I22" s="7">
        <v>10.7</v>
      </c>
      <c r="J22" s="7">
        <v>3.6</v>
      </c>
      <c r="K22" s="7" t="s">
        <v>52</v>
      </c>
      <c r="L22" s="7" t="s">
        <v>38</v>
      </c>
      <c r="M22" s="7" t="s">
        <v>38</v>
      </c>
      <c r="N22" s="7" t="s">
        <v>79</v>
      </c>
      <c r="O22" s="7" t="s">
        <v>39</v>
      </c>
      <c r="P22" s="8" t="s">
        <v>38</v>
      </c>
      <c r="Q22" s="6"/>
    </row>
    <row r="23" spans="1:17" ht="23.25" customHeight="1" x14ac:dyDescent="0.2">
      <c r="A23" s="5" t="s">
        <v>61</v>
      </c>
      <c r="B23" s="5" t="s">
        <v>56</v>
      </c>
      <c r="C23" s="5">
        <v>1</v>
      </c>
      <c r="D23" s="5" t="s">
        <v>34</v>
      </c>
      <c r="E23" s="5" t="s">
        <v>62</v>
      </c>
      <c r="F23" s="5" t="s">
        <v>80</v>
      </c>
      <c r="G23" s="5" t="s">
        <v>37</v>
      </c>
      <c r="H23" s="5" t="s">
        <v>37</v>
      </c>
      <c r="I23" s="5">
        <v>13.5</v>
      </c>
      <c r="J23" s="5">
        <v>10.5</v>
      </c>
      <c r="K23" s="5" t="s">
        <v>38</v>
      </c>
      <c r="L23" s="5" t="s">
        <v>38</v>
      </c>
      <c r="M23" s="5" t="s">
        <v>38</v>
      </c>
      <c r="N23" s="5"/>
      <c r="O23" s="5" t="s">
        <v>39</v>
      </c>
      <c r="P23" s="6"/>
      <c r="Q23" s="6"/>
    </row>
    <row r="24" spans="1:17" ht="15" customHeight="1" x14ac:dyDescent="0.2">
      <c r="A24" s="5" t="s">
        <v>61</v>
      </c>
      <c r="B24" s="5" t="s">
        <v>56</v>
      </c>
      <c r="C24" s="5">
        <v>2</v>
      </c>
      <c r="D24" s="5" t="s">
        <v>34</v>
      </c>
      <c r="E24" s="5" t="s">
        <v>64</v>
      </c>
      <c r="F24" s="5" t="s">
        <v>65</v>
      </c>
      <c r="G24" s="5" t="s">
        <v>37</v>
      </c>
      <c r="H24" s="5" t="s">
        <v>37</v>
      </c>
      <c r="I24" s="5">
        <v>14.3</v>
      </c>
      <c r="J24" s="5">
        <v>6.7</v>
      </c>
      <c r="K24" s="5" t="s">
        <v>38</v>
      </c>
      <c r="L24" s="5" t="s">
        <v>38</v>
      </c>
      <c r="M24" s="5" t="s">
        <v>38</v>
      </c>
      <c r="N24" s="5"/>
      <c r="O24" s="5" t="s">
        <v>39</v>
      </c>
      <c r="P24" s="6"/>
      <c r="Q24" s="6"/>
    </row>
    <row r="25" spans="1:17" ht="23.25" customHeight="1" x14ac:dyDescent="0.2">
      <c r="A25" s="5" t="s">
        <v>61</v>
      </c>
      <c r="B25" s="5" t="s">
        <v>56</v>
      </c>
      <c r="C25" s="5">
        <v>3</v>
      </c>
      <c r="D25" s="5" t="s">
        <v>34</v>
      </c>
      <c r="E25" s="5" t="s">
        <v>66</v>
      </c>
      <c r="F25" s="5" t="s">
        <v>81</v>
      </c>
      <c r="G25" s="5" t="s">
        <v>37</v>
      </c>
      <c r="H25" s="5" t="s">
        <v>37</v>
      </c>
      <c r="I25" s="5">
        <v>24.9</v>
      </c>
      <c r="J25" s="5">
        <v>9.1</v>
      </c>
      <c r="K25" s="5" t="s">
        <v>38</v>
      </c>
      <c r="L25" s="5" t="s">
        <v>38</v>
      </c>
      <c r="M25" s="5" t="s">
        <v>38</v>
      </c>
      <c r="N25" s="5"/>
      <c r="O25" s="5" t="s">
        <v>39</v>
      </c>
      <c r="P25" s="6"/>
      <c r="Q25" s="6"/>
    </row>
    <row r="26" spans="1:17" ht="15" customHeight="1" x14ac:dyDescent="0.2">
      <c r="A26" s="5" t="s">
        <v>61</v>
      </c>
      <c r="B26" s="5" t="s">
        <v>56</v>
      </c>
      <c r="C26" s="5">
        <v>4</v>
      </c>
      <c r="D26" s="5" t="s">
        <v>34</v>
      </c>
      <c r="E26" s="5" t="s">
        <v>68</v>
      </c>
      <c r="F26" s="5" t="s">
        <v>82</v>
      </c>
      <c r="G26" s="5" t="s">
        <v>37</v>
      </c>
      <c r="H26" s="5" t="s">
        <v>37</v>
      </c>
      <c r="I26" s="5">
        <v>5.2</v>
      </c>
      <c r="J26" s="5">
        <v>3.7</v>
      </c>
      <c r="K26" s="5" t="s">
        <v>38</v>
      </c>
      <c r="L26" s="5" t="s">
        <v>38</v>
      </c>
      <c r="M26" s="5" t="s">
        <v>38</v>
      </c>
      <c r="N26" s="5"/>
      <c r="O26" s="5" t="s">
        <v>39</v>
      </c>
      <c r="P26" s="6"/>
      <c r="Q26" s="6"/>
    </row>
    <row r="27" spans="1:17" ht="23.25" customHeight="1" x14ac:dyDescent="0.2">
      <c r="A27" s="5" t="s">
        <v>61</v>
      </c>
      <c r="B27" s="5" t="s">
        <v>56</v>
      </c>
      <c r="C27" s="5">
        <v>5</v>
      </c>
      <c r="D27" s="5" t="s">
        <v>34</v>
      </c>
      <c r="E27" s="5" t="s">
        <v>70</v>
      </c>
      <c r="F27" s="5" t="s">
        <v>83</v>
      </c>
      <c r="G27" s="5" t="s">
        <v>37</v>
      </c>
      <c r="H27" s="5" t="s">
        <v>37</v>
      </c>
      <c r="I27" s="5">
        <v>14.7</v>
      </c>
      <c r="J27" s="5">
        <v>7.2</v>
      </c>
      <c r="K27" s="5" t="s">
        <v>38</v>
      </c>
      <c r="L27" s="5" t="s">
        <v>38</v>
      </c>
      <c r="M27" s="5" t="s">
        <v>38</v>
      </c>
      <c r="N27" s="5"/>
      <c r="O27" s="5" t="s">
        <v>39</v>
      </c>
      <c r="P27" s="6"/>
      <c r="Q27" s="6"/>
    </row>
    <row r="28" spans="1:17" ht="15" customHeight="1" x14ac:dyDescent="0.2">
      <c r="A28" s="5" t="s">
        <v>61</v>
      </c>
      <c r="B28" s="5" t="s">
        <v>56</v>
      </c>
      <c r="C28" s="5">
        <v>6</v>
      </c>
      <c r="D28" s="5" t="s">
        <v>48</v>
      </c>
      <c r="E28" s="5" t="s">
        <v>75</v>
      </c>
      <c r="F28" s="5" t="s">
        <v>84</v>
      </c>
      <c r="G28" s="5" t="s">
        <v>51</v>
      </c>
      <c r="H28" s="5" t="s">
        <v>37</v>
      </c>
      <c r="I28" s="5">
        <v>9.1999999999999993</v>
      </c>
      <c r="J28" s="5">
        <v>4.5</v>
      </c>
      <c r="K28" s="5" t="s">
        <v>38</v>
      </c>
      <c r="L28" s="5" t="s">
        <v>38</v>
      </c>
      <c r="M28" s="5" t="s">
        <v>38</v>
      </c>
      <c r="N28" s="5"/>
      <c r="O28" s="5" t="s">
        <v>39</v>
      </c>
      <c r="P28" s="6"/>
      <c r="Q28" s="6"/>
    </row>
    <row r="29" spans="1:17" ht="15" customHeight="1" x14ac:dyDescent="0.2">
      <c r="A29" s="5" t="s">
        <v>61</v>
      </c>
      <c r="B29" s="5" t="s">
        <v>56</v>
      </c>
      <c r="C29" s="5">
        <v>7</v>
      </c>
      <c r="D29" s="5" t="s">
        <v>48</v>
      </c>
      <c r="E29" s="5" t="s">
        <v>77</v>
      </c>
      <c r="F29" s="5" t="s">
        <v>85</v>
      </c>
      <c r="G29" s="5" t="s">
        <v>37</v>
      </c>
      <c r="H29" s="5" t="s">
        <v>37</v>
      </c>
      <c r="I29" s="5">
        <v>10.7</v>
      </c>
      <c r="J29" s="5">
        <v>5.8</v>
      </c>
      <c r="K29" s="5" t="s">
        <v>38</v>
      </c>
      <c r="L29" s="5" t="s">
        <v>38</v>
      </c>
      <c r="M29" s="5" t="s">
        <v>38</v>
      </c>
      <c r="N29" s="5"/>
      <c r="O29" s="5" t="s">
        <v>39</v>
      </c>
      <c r="P29" s="6"/>
      <c r="Q29" s="6"/>
    </row>
    <row r="30" spans="1:17" ht="45.75" customHeight="1" x14ac:dyDescent="0.2">
      <c r="A30" s="5" t="s">
        <v>86</v>
      </c>
      <c r="B30" s="5" t="s">
        <v>33</v>
      </c>
      <c r="C30" s="5">
        <v>1</v>
      </c>
      <c r="D30" s="5" t="s">
        <v>34</v>
      </c>
      <c r="E30" s="5" t="s">
        <v>87</v>
      </c>
      <c r="F30" s="5" t="s">
        <v>88</v>
      </c>
      <c r="G30" s="5" t="s">
        <v>37</v>
      </c>
      <c r="H30" s="5" t="s">
        <v>37</v>
      </c>
      <c r="I30" s="5">
        <v>13.3</v>
      </c>
      <c r="J30" s="5">
        <v>10.1</v>
      </c>
      <c r="K30" s="5" t="s">
        <v>38</v>
      </c>
      <c r="L30" s="5" t="s">
        <v>38</v>
      </c>
      <c r="M30" s="5" t="s">
        <v>38</v>
      </c>
      <c r="N30" s="5"/>
      <c r="O30" s="5" t="s">
        <v>39</v>
      </c>
      <c r="P30" s="6"/>
      <c r="Q30" s="6"/>
    </row>
    <row r="31" spans="1:17" ht="45.75" customHeight="1" x14ac:dyDescent="0.2">
      <c r="A31" s="5" t="s">
        <v>86</v>
      </c>
      <c r="B31" s="5" t="s">
        <v>33</v>
      </c>
      <c r="C31" s="5">
        <v>2</v>
      </c>
      <c r="D31" s="5" t="s">
        <v>34</v>
      </c>
      <c r="E31" s="5" t="s">
        <v>87</v>
      </c>
      <c r="F31" s="5" t="s">
        <v>89</v>
      </c>
      <c r="G31" s="5" t="s">
        <v>37</v>
      </c>
      <c r="H31" s="5" t="s">
        <v>37</v>
      </c>
      <c r="I31" s="5">
        <v>13.3</v>
      </c>
      <c r="J31" s="5">
        <v>10.9</v>
      </c>
      <c r="K31" s="5" t="s">
        <v>38</v>
      </c>
      <c r="L31" s="5" t="s">
        <v>38</v>
      </c>
      <c r="M31" s="5" t="s">
        <v>38</v>
      </c>
      <c r="N31" s="5"/>
      <c r="O31" s="5" t="s">
        <v>39</v>
      </c>
      <c r="P31" s="6"/>
      <c r="Q31" s="6"/>
    </row>
    <row r="32" spans="1:17" ht="45.75" customHeight="1" x14ac:dyDescent="0.2">
      <c r="A32" s="5" t="s">
        <v>86</v>
      </c>
      <c r="B32" s="5" t="s">
        <v>33</v>
      </c>
      <c r="C32" s="5">
        <v>3</v>
      </c>
      <c r="D32" s="5" t="s">
        <v>34</v>
      </c>
      <c r="E32" s="5" t="s">
        <v>87</v>
      </c>
      <c r="F32" s="5" t="s">
        <v>90</v>
      </c>
      <c r="G32" s="5" t="s">
        <v>37</v>
      </c>
      <c r="H32" s="5" t="s">
        <v>37</v>
      </c>
      <c r="I32" s="5">
        <v>13.3</v>
      </c>
      <c r="J32" s="5">
        <v>4.3</v>
      </c>
      <c r="K32" s="5" t="s">
        <v>38</v>
      </c>
      <c r="L32" s="5" t="s">
        <v>38</v>
      </c>
      <c r="M32" s="5" t="s">
        <v>38</v>
      </c>
      <c r="N32" s="5"/>
      <c r="O32" s="5" t="s">
        <v>39</v>
      </c>
      <c r="P32" s="6"/>
      <c r="Q32" s="6"/>
    </row>
    <row r="33" spans="1:17" ht="23.25" customHeight="1" x14ac:dyDescent="0.2">
      <c r="A33" s="5" t="s">
        <v>86</v>
      </c>
      <c r="B33" s="5" t="s">
        <v>33</v>
      </c>
      <c r="C33" s="5">
        <v>4</v>
      </c>
      <c r="D33" s="5" t="s">
        <v>34</v>
      </c>
      <c r="E33" s="5" t="s">
        <v>91</v>
      </c>
      <c r="F33" s="5" t="s">
        <v>92</v>
      </c>
      <c r="G33" s="5" t="s">
        <v>37</v>
      </c>
      <c r="H33" s="5" t="s">
        <v>51</v>
      </c>
      <c r="I33" s="5">
        <v>6.8</v>
      </c>
      <c r="J33" s="5">
        <v>4</v>
      </c>
      <c r="K33" s="5" t="s">
        <v>38</v>
      </c>
      <c r="L33" s="5" t="s">
        <v>38</v>
      </c>
      <c r="M33" s="5" t="s">
        <v>38</v>
      </c>
      <c r="N33" s="5"/>
      <c r="O33" s="5" t="s">
        <v>39</v>
      </c>
      <c r="P33" s="6"/>
      <c r="Q33" s="6"/>
    </row>
    <row r="34" spans="1:17" ht="15" customHeight="1" x14ac:dyDescent="0.2">
      <c r="A34" s="5" t="s">
        <v>86</v>
      </c>
      <c r="B34" s="5" t="s">
        <v>33</v>
      </c>
      <c r="C34" s="5">
        <v>5</v>
      </c>
      <c r="D34" s="5" t="s">
        <v>34</v>
      </c>
      <c r="E34" s="5" t="s">
        <v>93</v>
      </c>
      <c r="F34" s="5" t="s">
        <v>94</v>
      </c>
      <c r="G34" s="5" t="s">
        <v>37</v>
      </c>
      <c r="H34" s="5" t="s">
        <v>37</v>
      </c>
      <c r="I34" s="5">
        <v>2.9</v>
      </c>
      <c r="J34" s="5">
        <v>0.8</v>
      </c>
      <c r="K34" s="5" t="s">
        <v>38</v>
      </c>
      <c r="L34" s="5" t="s">
        <v>38</v>
      </c>
      <c r="M34" s="5" t="s">
        <v>38</v>
      </c>
      <c r="N34" s="5"/>
      <c r="O34" s="5" t="s">
        <v>39</v>
      </c>
      <c r="P34" s="6"/>
      <c r="Q34" s="6"/>
    </row>
    <row r="35" spans="1:17" ht="34.5" customHeight="1" x14ac:dyDescent="0.2">
      <c r="A35" s="5" t="s">
        <v>86</v>
      </c>
      <c r="B35" s="5" t="s">
        <v>33</v>
      </c>
      <c r="C35" s="5">
        <v>6</v>
      </c>
      <c r="D35" s="5" t="s">
        <v>48</v>
      </c>
      <c r="E35" s="5" t="s">
        <v>95</v>
      </c>
      <c r="F35" s="5" t="s">
        <v>96</v>
      </c>
      <c r="G35" s="5" t="s">
        <v>51</v>
      </c>
      <c r="H35" s="5" t="s">
        <v>37</v>
      </c>
      <c r="I35" s="5">
        <v>13.1</v>
      </c>
      <c r="J35" s="5">
        <v>11.6</v>
      </c>
      <c r="K35" s="5" t="s">
        <v>38</v>
      </c>
      <c r="L35" s="5" t="s">
        <v>38</v>
      </c>
      <c r="M35" s="5" t="s">
        <v>38</v>
      </c>
      <c r="N35" s="5"/>
      <c r="O35" s="5" t="s">
        <v>39</v>
      </c>
      <c r="P35" s="6"/>
      <c r="Q35" s="6"/>
    </row>
    <row r="36" spans="1:17" ht="15" customHeight="1" x14ac:dyDescent="0.2">
      <c r="A36" s="5" t="s">
        <v>86</v>
      </c>
      <c r="B36" s="5" t="s">
        <v>33</v>
      </c>
      <c r="C36" s="5">
        <v>7</v>
      </c>
      <c r="D36" s="5" t="s">
        <v>48</v>
      </c>
      <c r="E36" s="5" t="s">
        <v>97</v>
      </c>
      <c r="F36" s="5" t="s">
        <v>98</v>
      </c>
      <c r="G36" s="5" t="s">
        <v>51</v>
      </c>
      <c r="H36" s="5" t="s">
        <v>51</v>
      </c>
      <c r="I36" s="5">
        <v>20.6</v>
      </c>
      <c r="J36" s="5">
        <v>0.6</v>
      </c>
      <c r="K36" s="5" t="s">
        <v>38</v>
      </c>
      <c r="L36" s="5" t="s">
        <v>38</v>
      </c>
      <c r="M36" s="5" t="s">
        <v>38</v>
      </c>
      <c r="N36" s="5"/>
      <c r="O36" s="5" t="s">
        <v>39</v>
      </c>
      <c r="P36" s="6"/>
      <c r="Q36" s="6"/>
    </row>
    <row r="37" spans="1:17" ht="23.25" customHeight="1" x14ac:dyDescent="0.2">
      <c r="A37" s="5" t="s">
        <v>86</v>
      </c>
      <c r="B37" s="5" t="s">
        <v>33</v>
      </c>
      <c r="C37" s="5">
        <v>8</v>
      </c>
      <c r="D37" s="5" t="s">
        <v>48</v>
      </c>
      <c r="E37" s="5" t="s">
        <v>99</v>
      </c>
      <c r="F37" s="5" t="s">
        <v>100</v>
      </c>
      <c r="G37" s="5" t="s">
        <v>51</v>
      </c>
      <c r="H37" s="5" t="s">
        <v>51</v>
      </c>
      <c r="I37" s="5">
        <v>11.9</v>
      </c>
      <c r="J37" s="5">
        <v>5.6</v>
      </c>
      <c r="K37" s="5" t="s">
        <v>38</v>
      </c>
      <c r="L37" s="5" t="s">
        <v>38</v>
      </c>
      <c r="M37" s="5" t="s">
        <v>38</v>
      </c>
      <c r="N37" s="5"/>
      <c r="O37" s="5" t="s">
        <v>39</v>
      </c>
      <c r="P37" s="6"/>
      <c r="Q37" s="6"/>
    </row>
    <row r="38" spans="1:17" ht="23.25" customHeight="1" x14ac:dyDescent="0.2">
      <c r="A38" s="7" t="s">
        <v>86</v>
      </c>
      <c r="B38" s="7" t="s">
        <v>33</v>
      </c>
      <c r="C38" s="7">
        <v>9</v>
      </c>
      <c r="D38" s="7" t="s">
        <v>48</v>
      </c>
      <c r="E38" s="7" t="s">
        <v>101</v>
      </c>
      <c r="F38" s="7" t="s">
        <v>102</v>
      </c>
      <c r="G38" s="7" t="s">
        <v>51</v>
      </c>
      <c r="H38" s="7" t="s">
        <v>37</v>
      </c>
      <c r="I38" s="7">
        <v>24.1</v>
      </c>
      <c r="J38" s="7">
        <v>8.4</v>
      </c>
      <c r="K38" s="7" t="s">
        <v>52</v>
      </c>
      <c r="L38" s="7" t="s">
        <v>38</v>
      </c>
      <c r="M38" s="7" t="s">
        <v>38</v>
      </c>
      <c r="N38" s="7" t="s">
        <v>103</v>
      </c>
      <c r="O38" s="7" t="s">
        <v>39</v>
      </c>
      <c r="P38" s="8" t="s">
        <v>38</v>
      </c>
      <c r="Q38" s="6"/>
    </row>
    <row r="39" spans="1:17" ht="23.25" customHeight="1" x14ac:dyDescent="0.2">
      <c r="A39" s="5" t="s">
        <v>86</v>
      </c>
      <c r="B39" s="5" t="s">
        <v>33</v>
      </c>
      <c r="C39" s="5">
        <v>10</v>
      </c>
      <c r="D39" s="5" t="s">
        <v>48</v>
      </c>
      <c r="E39" s="5" t="s">
        <v>104</v>
      </c>
      <c r="F39" s="5" t="s">
        <v>105</v>
      </c>
      <c r="G39" s="5" t="s">
        <v>51</v>
      </c>
      <c r="H39" s="5" t="s">
        <v>51</v>
      </c>
      <c r="I39" s="5">
        <v>12.6</v>
      </c>
      <c r="J39" s="5">
        <v>6.8</v>
      </c>
      <c r="K39" s="5" t="s">
        <v>38</v>
      </c>
      <c r="L39" s="5" t="s">
        <v>38</v>
      </c>
      <c r="M39" s="5" t="s">
        <v>38</v>
      </c>
      <c r="N39" s="5"/>
      <c r="O39" s="5" t="s">
        <v>39</v>
      </c>
      <c r="P39" s="6"/>
      <c r="Q39" s="6"/>
    </row>
    <row r="40" spans="1:17" ht="45.75" customHeight="1" x14ac:dyDescent="0.2">
      <c r="A40" s="5" t="s">
        <v>86</v>
      </c>
      <c r="B40" s="5" t="s">
        <v>56</v>
      </c>
      <c r="C40" s="5">
        <v>1</v>
      </c>
      <c r="D40" s="5" t="s">
        <v>34</v>
      </c>
      <c r="E40" s="5" t="s">
        <v>87</v>
      </c>
      <c r="F40" s="5" t="s">
        <v>106</v>
      </c>
      <c r="G40" s="5" t="s">
        <v>37</v>
      </c>
      <c r="H40" s="5" t="s">
        <v>37</v>
      </c>
      <c r="I40" s="5">
        <v>13.3</v>
      </c>
      <c r="J40" s="5">
        <v>9.8000000000000007</v>
      </c>
      <c r="K40" s="5" t="s">
        <v>38</v>
      </c>
      <c r="L40" s="5" t="s">
        <v>38</v>
      </c>
      <c r="M40" s="5" t="s">
        <v>38</v>
      </c>
      <c r="N40" s="5"/>
      <c r="O40" s="5" t="s">
        <v>39</v>
      </c>
      <c r="P40" s="6"/>
      <c r="Q40" s="6"/>
    </row>
    <row r="41" spans="1:17" ht="23.25" customHeight="1" x14ac:dyDescent="0.2">
      <c r="A41" s="5" t="s">
        <v>86</v>
      </c>
      <c r="B41" s="5" t="s">
        <v>56</v>
      </c>
      <c r="C41" s="5">
        <v>2</v>
      </c>
      <c r="D41" s="5" t="s">
        <v>34</v>
      </c>
      <c r="E41" s="5" t="s">
        <v>107</v>
      </c>
      <c r="F41" s="5" t="s">
        <v>108</v>
      </c>
      <c r="G41" s="5" t="s">
        <v>37</v>
      </c>
      <c r="H41" s="5" t="s">
        <v>37</v>
      </c>
      <c r="I41" s="5">
        <v>7.4</v>
      </c>
      <c r="J41" s="5">
        <v>10.9</v>
      </c>
      <c r="K41" s="5" t="s">
        <v>38</v>
      </c>
      <c r="L41" s="5" t="s">
        <v>38</v>
      </c>
      <c r="M41" s="5" t="s">
        <v>38</v>
      </c>
      <c r="N41" s="5"/>
      <c r="O41" s="5" t="s">
        <v>39</v>
      </c>
      <c r="P41" s="6"/>
      <c r="Q41" s="6"/>
    </row>
    <row r="42" spans="1:17" ht="23.25" customHeight="1" x14ac:dyDescent="0.2">
      <c r="A42" s="5" t="s">
        <v>86</v>
      </c>
      <c r="B42" s="5" t="s">
        <v>56</v>
      </c>
      <c r="C42" s="5">
        <v>3</v>
      </c>
      <c r="D42" s="5" t="s">
        <v>34</v>
      </c>
      <c r="E42" s="5" t="s">
        <v>109</v>
      </c>
      <c r="F42" s="5" t="s">
        <v>90</v>
      </c>
      <c r="G42" s="5" t="s">
        <v>37</v>
      </c>
      <c r="H42" s="5" t="s">
        <v>37</v>
      </c>
      <c r="I42" s="5">
        <v>6.6</v>
      </c>
      <c r="J42" s="5">
        <v>4.3</v>
      </c>
      <c r="K42" s="5" t="s">
        <v>38</v>
      </c>
      <c r="L42" s="5" t="s">
        <v>38</v>
      </c>
      <c r="M42" s="5" t="s">
        <v>38</v>
      </c>
      <c r="N42" s="5"/>
      <c r="O42" s="5" t="s">
        <v>39</v>
      </c>
      <c r="P42" s="6"/>
      <c r="Q42" s="6"/>
    </row>
    <row r="43" spans="1:17" ht="23.25" customHeight="1" x14ac:dyDescent="0.2">
      <c r="A43" s="5" t="s">
        <v>86</v>
      </c>
      <c r="B43" s="5" t="s">
        <v>56</v>
      </c>
      <c r="C43" s="5">
        <v>4</v>
      </c>
      <c r="D43" s="5" t="s">
        <v>34</v>
      </c>
      <c r="E43" s="5" t="s">
        <v>91</v>
      </c>
      <c r="F43" s="5" t="s">
        <v>110</v>
      </c>
      <c r="G43" s="5" t="s">
        <v>37</v>
      </c>
      <c r="H43" s="5" t="s">
        <v>51</v>
      </c>
      <c r="I43" s="5">
        <v>6.8</v>
      </c>
      <c r="J43" s="5">
        <v>8</v>
      </c>
      <c r="K43" s="5" t="s">
        <v>38</v>
      </c>
      <c r="L43" s="5" t="s">
        <v>38</v>
      </c>
      <c r="M43" s="5" t="s">
        <v>38</v>
      </c>
      <c r="N43" s="5"/>
      <c r="O43" s="5" t="s">
        <v>39</v>
      </c>
      <c r="P43" s="6"/>
      <c r="Q43" s="6"/>
    </row>
    <row r="44" spans="1:17" ht="15" customHeight="1" x14ac:dyDescent="0.2">
      <c r="A44" s="5" t="s">
        <v>86</v>
      </c>
      <c r="B44" s="5" t="s">
        <v>56</v>
      </c>
      <c r="C44" s="5">
        <v>5</v>
      </c>
      <c r="D44" s="5" t="s">
        <v>34</v>
      </c>
      <c r="E44" s="5" t="s">
        <v>93</v>
      </c>
      <c r="F44" s="5" t="s">
        <v>94</v>
      </c>
      <c r="G44" s="5" t="s">
        <v>37</v>
      </c>
      <c r="H44" s="5" t="s">
        <v>37</v>
      </c>
      <c r="I44" s="5">
        <v>2.9</v>
      </c>
      <c r="J44" s="5">
        <v>0.8</v>
      </c>
      <c r="K44" s="5" t="s">
        <v>38</v>
      </c>
      <c r="L44" s="5" t="s">
        <v>38</v>
      </c>
      <c r="M44" s="5" t="s">
        <v>38</v>
      </c>
      <c r="N44" s="5"/>
      <c r="O44" s="5" t="s">
        <v>39</v>
      </c>
      <c r="P44" s="6"/>
      <c r="Q44" s="6"/>
    </row>
    <row r="45" spans="1:17" ht="34.5" customHeight="1" x14ac:dyDescent="0.2">
      <c r="A45" s="5" t="s">
        <v>86</v>
      </c>
      <c r="B45" s="5" t="s">
        <v>56</v>
      </c>
      <c r="C45" s="5">
        <v>6</v>
      </c>
      <c r="D45" s="5" t="s">
        <v>48</v>
      </c>
      <c r="E45" s="5" t="s">
        <v>95</v>
      </c>
      <c r="F45" s="5" t="s">
        <v>111</v>
      </c>
      <c r="G45" s="5" t="s">
        <v>51</v>
      </c>
      <c r="H45" s="5" t="s">
        <v>37</v>
      </c>
      <c r="I45" s="5">
        <v>13.1</v>
      </c>
      <c r="J45" s="5">
        <v>14.9</v>
      </c>
      <c r="K45" s="5" t="s">
        <v>38</v>
      </c>
      <c r="L45" s="5" t="s">
        <v>38</v>
      </c>
      <c r="M45" s="5" t="s">
        <v>38</v>
      </c>
      <c r="N45" s="5"/>
      <c r="O45" s="5" t="s">
        <v>39</v>
      </c>
      <c r="P45" s="6"/>
      <c r="Q45" s="6"/>
    </row>
    <row r="46" spans="1:17" ht="15" customHeight="1" x14ac:dyDescent="0.2">
      <c r="A46" s="5" t="s">
        <v>86</v>
      </c>
      <c r="B46" s="5" t="s">
        <v>56</v>
      </c>
      <c r="C46" s="5">
        <v>7</v>
      </c>
      <c r="D46" s="5" t="s">
        <v>48</v>
      </c>
      <c r="E46" s="5" t="s">
        <v>97</v>
      </c>
      <c r="F46" s="5" t="s">
        <v>112</v>
      </c>
      <c r="G46" s="5" t="s">
        <v>51</v>
      </c>
      <c r="H46" s="5" t="s">
        <v>51</v>
      </c>
      <c r="I46" s="5">
        <v>20.6</v>
      </c>
      <c r="J46" s="5">
        <v>2.6</v>
      </c>
      <c r="K46" s="5" t="s">
        <v>38</v>
      </c>
      <c r="L46" s="5" t="s">
        <v>38</v>
      </c>
      <c r="M46" s="5" t="s">
        <v>38</v>
      </c>
      <c r="N46" s="5"/>
      <c r="O46" s="5" t="s">
        <v>39</v>
      </c>
      <c r="P46" s="6"/>
      <c r="Q46" s="6"/>
    </row>
    <row r="47" spans="1:17" ht="23.25" customHeight="1" x14ac:dyDescent="0.2">
      <c r="A47" s="5" t="s">
        <v>86</v>
      </c>
      <c r="B47" s="5" t="s">
        <v>56</v>
      </c>
      <c r="C47" s="5">
        <v>8</v>
      </c>
      <c r="D47" s="5" t="s">
        <v>48</v>
      </c>
      <c r="E47" s="5" t="s">
        <v>99</v>
      </c>
      <c r="F47" s="5" t="s">
        <v>113</v>
      </c>
      <c r="G47" s="5" t="s">
        <v>51</v>
      </c>
      <c r="H47" s="5" t="s">
        <v>51</v>
      </c>
      <c r="I47" s="5">
        <v>11.9</v>
      </c>
      <c r="J47" s="5">
        <v>6.5</v>
      </c>
      <c r="K47" s="5" t="s">
        <v>38</v>
      </c>
      <c r="L47" s="5" t="s">
        <v>38</v>
      </c>
      <c r="M47" s="5" t="s">
        <v>38</v>
      </c>
      <c r="N47" s="5"/>
      <c r="O47" s="5" t="s">
        <v>39</v>
      </c>
      <c r="P47" s="6"/>
      <c r="Q47" s="6"/>
    </row>
    <row r="48" spans="1:17" ht="23.25" customHeight="1" x14ac:dyDescent="0.2">
      <c r="A48" s="5" t="s">
        <v>86</v>
      </c>
      <c r="B48" s="5" t="s">
        <v>56</v>
      </c>
      <c r="C48" s="5">
        <v>9</v>
      </c>
      <c r="D48" s="5" t="s">
        <v>48</v>
      </c>
      <c r="E48" s="5" t="s">
        <v>114</v>
      </c>
      <c r="F48" s="5" t="s">
        <v>115</v>
      </c>
      <c r="G48" s="5" t="s">
        <v>51</v>
      </c>
      <c r="H48" s="5" t="s">
        <v>37</v>
      </c>
      <c r="I48" s="5">
        <v>17</v>
      </c>
      <c r="J48" s="5">
        <v>8.4</v>
      </c>
      <c r="K48" s="5" t="s">
        <v>38</v>
      </c>
      <c r="L48" s="5" t="s">
        <v>38</v>
      </c>
      <c r="M48" s="5" t="s">
        <v>38</v>
      </c>
      <c r="N48" s="5"/>
      <c r="O48" s="5" t="s">
        <v>39</v>
      </c>
      <c r="P48" s="6"/>
      <c r="Q48" s="6"/>
    </row>
    <row r="49" spans="1:17" ht="23.25" customHeight="1" x14ac:dyDescent="0.2">
      <c r="A49" s="5" t="s">
        <v>86</v>
      </c>
      <c r="B49" s="5" t="s">
        <v>56</v>
      </c>
      <c r="C49" s="5">
        <v>10</v>
      </c>
      <c r="D49" s="5" t="s">
        <v>48</v>
      </c>
      <c r="E49" s="5" t="s">
        <v>104</v>
      </c>
      <c r="F49" s="5" t="s">
        <v>116</v>
      </c>
      <c r="G49" s="5" t="s">
        <v>51</v>
      </c>
      <c r="H49" s="5" t="s">
        <v>37</v>
      </c>
      <c r="I49" s="5">
        <v>12.6</v>
      </c>
      <c r="J49" s="5">
        <v>7.8</v>
      </c>
      <c r="K49" s="5" t="s">
        <v>38</v>
      </c>
      <c r="L49" s="5" t="s">
        <v>38</v>
      </c>
      <c r="M49" s="5" t="s">
        <v>38</v>
      </c>
      <c r="N49" s="5"/>
      <c r="O49" s="5" t="s">
        <v>39</v>
      </c>
      <c r="P49" s="6"/>
      <c r="Q49" s="6"/>
    </row>
    <row r="50" spans="1:17" ht="15" customHeight="1" x14ac:dyDescent="0.2">
      <c r="A50" s="5" t="s">
        <v>117</v>
      </c>
      <c r="B50" s="5" t="s">
        <v>33</v>
      </c>
      <c r="C50" s="5">
        <v>1</v>
      </c>
      <c r="D50" s="5" t="s">
        <v>34</v>
      </c>
      <c r="E50" s="5" t="s">
        <v>118</v>
      </c>
      <c r="F50" s="5" t="s">
        <v>119</v>
      </c>
      <c r="G50" s="5" t="s">
        <v>37</v>
      </c>
      <c r="H50" s="5" t="s">
        <v>37</v>
      </c>
      <c r="I50" s="5">
        <v>2.5</v>
      </c>
      <c r="J50" s="5">
        <v>0.6</v>
      </c>
      <c r="K50" s="5" t="s">
        <v>38</v>
      </c>
      <c r="L50" s="5" t="s">
        <v>38</v>
      </c>
      <c r="M50" s="5" t="s">
        <v>38</v>
      </c>
      <c r="N50" s="5"/>
      <c r="O50" s="5" t="s">
        <v>39</v>
      </c>
      <c r="P50" s="6"/>
      <c r="Q50" s="6"/>
    </row>
    <row r="51" spans="1:17" ht="23.25" customHeight="1" x14ac:dyDescent="0.2">
      <c r="A51" s="5" t="s">
        <v>117</v>
      </c>
      <c r="B51" s="5" t="s">
        <v>33</v>
      </c>
      <c r="C51" s="5">
        <v>2</v>
      </c>
      <c r="D51" s="5" t="s">
        <v>34</v>
      </c>
      <c r="E51" s="5" t="s">
        <v>120</v>
      </c>
      <c r="F51" s="5" t="s">
        <v>121</v>
      </c>
      <c r="G51" s="5" t="s">
        <v>37</v>
      </c>
      <c r="H51" s="5" t="s">
        <v>51</v>
      </c>
      <c r="I51" s="5">
        <v>10.1</v>
      </c>
      <c r="J51" s="5">
        <v>2.5</v>
      </c>
      <c r="K51" s="5" t="s">
        <v>38</v>
      </c>
      <c r="L51" s="5" t="s">
        <v>38</v>
      </c>
      <c r="M51" s="5" t="s">
        <v>38</v>
      </c>
      <c r="N51" s="5"/>
      <c r="O51" s="5" t="s">
        <v>39</v>
      </c>
      <c r="P51" s="6"/>
      <c r="Q51" s="6"/>
    </row>
    <row r="52" spans="1:17" ht="23.25" customHeight="1" x14ac:dyDescent="0.2">
      <c r="A52" s="5" t="s">
        <v>117</v>
      </c>
      <c r="B52" s="5" t="s">
        <v>33</v>
      </c>
      <c r="C52" s="5">
        <v>3</v>
      </c>
      <c r="D52" s="5" t="s">
        <v>34</v>
      </c>
      <c r="E52" s="5" t="s">
        <v>120</v>
      </c>
      <c r="F52" s="5" t="s">
        <v>122</v>
      </c>
      <c r="G52" s="5" t="s">
        <v>37</v>
      </c>
      <c r="H52" s="5" t="s">
        <v>51</v>
      </c>
      <c r="I52" s="5">
        <v>10.1</v>
      </c>
      <c r="J52" s="5">
        <v>4.8</v>
      </c>
      <c r="K52" s="5" t="s">
        <v>38</v>
      </c>
      <c r="L52" s="5" t="s">
        <v>38</v>
      </c>
      <c r="M52" s="5" t="s">
        <v>38</v>
      </c>
      <c r="N52" s="5"/>
      <c r="O52" s="5" t="s">
        <v>39</v>
      </c>
      <c r="P52" s="6"/>
      <c r="Q52" s="6"/>
    </row>
    <row r="53" spans="1:17" ht="57" customHeight="1" x14ac:dyDescent="0.2">
      <c r="A53" s="5" t="s">
        <v>117</v>
      </c>
      <c r="B53" s="5" t="s">
        <v>33</v>
      </c>
      <c r="C53" s="5">
        <v>4</v>
      </c>
      <c r="D53" s="5" t="s">
        <v>34</v>
      </c>
      <c r="E53" s="5" t="s">
        <v>123</v>
      </c>
      <c r="F53" s="5" t="s">
        <v>124</v>
      </c>
      <c r="G53" s="5" t="s">
        <v>37</v>
      </c>
      <c r="H53" s="5" t="s">
        <v>37</v>
      </c>
      <c r="I53" s="5">
        <v>12.2</v>
      </c>
      <c r="J53" s="5">
        <v>10.6</v>
      </c>
      <c r="K53" s="5" t="s">
        <v>38</v>
      </c>
      <c r="L53" s="5" t="s">
        <v>38</v>
      </c>
      <c r="M53" s="5" t="s">
        <v>38</v>
      </c>
      <c r="N53" s="5"/>
      <c r="O53" s="5" t="s">
        <v>39</v>
      </c>
      <c r="P53" s="6"/>
      <c r="Q53" s="6"/>
    </row>
    <row r="54" spans="1:17" ht="23.25" customHeight="1" x14ac:dyDescent="0.2">
      <c r="A54" s="5" t="s">
        <v>117</v>
      </c>
      <c r="B54" s="5" t="s">
        <v>33</v>
      </c>
      <c r="C54" s="5">
        <v>5</v>
      </c>
      <c r="D54" s="5" t="s">
        <v>34</v>
      </c>
      <c r="E54" s="5" t="s">
        <v>125</v>
      </c>
      <c r="F54" s="5" t="s">
        <v>126</v>
      </c>
      <c r="G54" s="5" t="s">
        <v>37</v>
      </c>
      <c r="H54" s="5" t="s">
        <v>51</v>
      </c>
      <c r="I54" s="5">
        <v>9.8000000000000007</v>
      </c>
      <c r="J54" s="5">
        <v>7.2</v>
      </c>
      <c r="K54" s="5" t="s">
        <v>38</v>
      </c>
      <c r="L54" s="5" t="s">
        <v>38</v>
      </c>
      <c r="M54" s="5" t="s">
        <v>38</v>
      </c>
      <c r="N54" s="5"/>
      <c r="O54" s="5" t="s">
        <v>39</v>
      </c>
      <c r="P54" s="6"/>
      <c r="Q54" s="6"/>
    </row>
    <row r="55" spans="1:17" ht="23.25" customHeight="1" x14ac:dyDescent="0.2">
      <c r="A55" s="5" t="s">
        <v>117</v>
      </c>
      <c r="B55" s="5" t="s">
        <v>33</v>
      </c>
      <c r="C55" s="5">
        <v>6</v>
      </c>
      <c r="D55" s="5" t="s">
        <v>48</v>
      </c>
      <c r="E55" s="5" t="s">
        <v>127</v>
      </c>
      <c r="F55" s="5" t="s">
        <v>128</v>
      </c>
      <c r="G55" s="5" t="s">
        <v>51</v>
      </c>
      <c r="H55" s="5" t="s">
        <v>37</v>
      </c>
      <c r="I55" s="5">
        <v>14.3</v>
      </c>
      <c r="J55" s="5">
        <v>15</v>
      </c>
      <c r="K55" s="5" t="s">
        <v>38</v>
      </c>
      <c r="L55" s="5" t="s">
        <v>38</v>
      </c>
      <c r="M55" s="5" t="s">
        <v>38</v>
      </c>
      <c r="N55" s="5"/>
      <c r="O55" s="5" t="s">
        <v>39</v>
      </c>
      <c r="P55" s="6"/>
      <c r="Q55" s="6"/>
    </row>
    <row r="56" spans="1:17" ht="23.25" customHeight="1" x14ac:dyDescent="0.2">
      <c r="A56" s="5" t="s">
        <v>117</v>
      </c>
      <c r="B56" s="5" t="s">
        <v>33</v>
      </c>
      <c r="C56" s="5">
        <v>7</v>
      </c>
      <c r="D56" s="5" t="s">
        <v>48</v>
      </c>
      <c r="E56" s="5" t="s">
        <v>129</v>
      </c>
      <c r="F56" s="5" t="s">
        <v>130</v>
      </c>
      <c r="G56" s="5" t="s">
        <v>51</v>
      </c>
      <c r="H56" s="5" t="s">
        <v>51</v>
      </c>
      <c r="I56" s="5">
        <v>8</v>
      </c>
      <c r="J56" s="5">
        <v>5.2</v>
      </c>
      <c r="K56" s="5" t="s">
        <v>38</v>
      </c>
      <c r="L56" s="5" t="s">
        <v>38</v>
      </c>
      <c r="M56" s="5" t="s">
        <v>38</v>
      </c>
      <c r="N56" s="5"/>
      <c r="O56" s="5" t="s">
        <v>39</v>
      </c>
      <c r="P56" s="6"/>
      <c r="Q56" s="6"/>
    </row>
    <row r="57" spans="1:17" ht="15" customHeight="1" x14ac:dyDescent="0.2">
      <c r="A57" s="5" t="s">
        <v>117</v>
      </c>
      <c r="B57" s="5" t="s">
        <v>33</v>
      </c>
      <c r="C57" s="5">
        <v>8</v>
      </c>
      <c r="D57" s="5" t="s">
        <v>48</v>
      </c>
      <c r="E57" s="5" t="s">
        <v>131</v>
      </c>
      <c r="F57" s="5" t="s">
        <v>132</v>
      </c>
      <c r="G57" s="5" t="s">
        <v>51</v>
      </c>
      <c r="H57" s="5" t="s">
        <v>51</v>
      </c>
      <c r="I57" s="5">
        <v>17</v>
      </c>
      <c r="J57" s="5">
        <v>2.2999999999999998</v>
      </c>
      <c r="K57" s="5" t="s">
        <v>38</v>
      </c>
      <c r="L57" s="5" t="s">
        <v>38</v>
      </c>
      <c r="M57" s="5" t="s">
        <v>38</v>
      </c>
      <c r="N57" s="5"/>
      <c r="O57" s="5" t="s">
        <v>39</v>
      </c>
      <c r="P57" s="6"/>
      <c r="Q57" s="6"/>
    </row>
    <row r="58" spans="1:17" ht="23.25" customHeight="1" x14ac:dyDescent="0.2">
      <c r="A58" s="5" t="s">
        <v>133</v>
      </c>
      <c r="B58" s="5" t="s">
        <v>33</v>
      </c>
      <c r="C58" s="5">
        <v>1</v>
      </c>
      <c r="D58" s="5" t="s">
        <v>34</v>
      </c>
      <c r="E58" s="5" t="s">
        <v>134</v>
      </c>
      <c r="F58" s="5" t="s">
        <v>135</v>
      </c>
      <c r="G58" s="5" t="s">
        <v>37</v>
      </c>
      <c r="H58" s="5" t="s">
        <v>37</v>
      </c>
      <c r="I58" s="5">
        <v>11.8</v>
      </c>
      <c r="J58" s="5">
        <v>12.3</v>
      </c>
      <c r="K58" s="5" t="s">
        <v>38</v>
      </c>
      <c r="L58" s="5" t="s">
        <v>38</v>
      </c>
      <c r="M58" s="5" t="s">
        <v>38</v>
      </c>
      <c r="N58" s="5"/>
      <c r="O58" s="5" t="s">
        <v>39</v>
      </c>
      <c r="P58" s="6"/>
      <c r="Q58" s="6"/>
    </row>
    <row r="59" spans="1:17" ht="23.25" customHeight="1" x14ac:dyDescent="0.2">
      <c r="A59" s="5" t="s">
        <v>133</v>
      </c>
      <c r="B59" s="5" t="s">
        <v>33</v>
      </c>
      <c r="C59" s="5">
        <v>2</v>
      </c>
      <c r="D59" s="5" t="s">
        <v>34</v>
      </c>
      <c r="E59" s="5" t="s">
        <v>136</v>
      </c>
      <c r="F59" s="5" t="s">
        <v>137</v>
      </c>
      <c r="G59" s="5" t="s">
        <v>37</v>
      </c>
      <c r="H59" s="5" t="s">
        <v>37</v>
      </c>
      <c r="I59" s="5">
        <v>8.4</v>
      </c>
      <c r="J59" s="5">
        <v>6</v>
      </c>
      <c r="K59" s="5" t="s">
        <v>38</v>
      </c>
      <c r="L59" s="5" t="s">
        <v>38</v>
      </c>
      <c r="M59" s="5" t="s">
        <v>38</v>
      </c>
      <c r="N59" s="5"/>
      <c r="O59" s="5" t="s">
        <v>39</v>
      </c>
      <c r="P59" s="6"/>
      <c r="Q59" s="6"/>
    </row>
    <row r="60" spans="1:17" ht="23.25" customHeight="1" x14ac:dyDescent="0.2">
      <c r="A60" s="7" t="s">
        <v>133</v>
      </c>
      <c r="B60" s="7" t="s">
        <v>33</v>
      </c>
      <c r="C60" s="7">
        <v>3</v>
      </c>
      <c r="D60" s="7" t="s">
        <v>34</v>
      </c>
      <c r="E60" s="7" t="s">
        <v>138</v>
      </c>
      <c r="F60" s="7" t="s">
        <v>139</v>
      </c>
      <c r="G60" s="7" t="s">
        <v>37</v>
      </c>
      <c r="H60" s="7" t="s">
        <v>37</v>
      </c>
      <c r="I60" s="7">
        <v>7.6</v>
      </c>
      <c r="J60" s="7">
        <v>4.8</v>
      </c>
      <c r="K60" s="7" t="s">
        <v>52</v>
      </c>
      <c r="L60" s="7" t="s">
        <v>38</v>
      </c>
      <c r="M60" s="7" t="s">
        <v>38</v>
      </c>
      <c r="N60" s="7" t="s">
        <v>140</v>
      </c>
      <c r="O60" s="7" t="s">
        <v>39</v>
      </c>
      <c r="P60" s="8" t="s">
        <v>38</v>
      </c>
      <c r="Q60" s="6"/>
    </row>
    <row r="61" spans="1:17" ht="15" customHeight="1" x14ac:dyDescent="0.2">
      <c r="A61" s="5" t="s">
        <v>133</v>
      </c>
      <c r="B61" s="5" t="s">
        <v>33</v>
      </c>
      <c r="C61" s="5">
        <v>4</v>
      </c>
      <c r="D61" s="5" t="s">
        <v>48</v>
      </c>
      <c r="E61" s="9" t="s">
        <v>141</v>
      </c>
      <c r="F61" s="5" t="s">
        <v>84</v>
      </c>
      <c r="G61" s="5" t="s">
        <v>51</v>
      </c>
      <c r="H61" s="5" t="s">
        <v>37</v>
      </c>
      <c r="I61" s="5">
        <v>6.6</v>
      </c>
      <c r="J61" s="5">
        <v>4.5</v>
      </c>
      <c r="K61" s="5" t="s">
        <v>38</v>
      </c>
      <c r="L61" s="5" t="s">
        <v>38</v>
      </c>
      <c r="M61" s="5" t="s">
        <v>38</v>
      </c>
      <c r="N61" s="5"/>
      <c r="O61" s="5" t="s">
        <v>39</v>
      </c>
      <c r="P61" s="6"/>
      <c r="Q61" s="6"/>
    </row>
    <row r="62" spans="1:17" ht="34.5" customHeight="1" x14ac:dyDescent="0.2">
      <c r="A62" s="5" t="s">
        <v>133</v>
      </c>
      <c r="B62" s="5" t="s">
        <v>33</v>
      </c>
      <c r="C62" s="5">
        <v>5</v>
      </c>
      <c r="D62" s="5" t="s">
        <v>48</v>
      </c>
      <c r="E62" s="5" t="s">
        <v>142</v>
      </c>
      <c r="F62" s="5" t="s">
        <v>143</v>
      </c>
      <c r="G62" s="5" t="s">
        <v>51</v>
      </c>
      <c r="H62" s="5" t="s">
        <v>37</v>
      </c>
      <c r="I62" s="5">
        <v>14</v>
      </c>
      <c r="J62" s="5">
        <v>12.4</v>
      </c>
      <c r="K62" s="5" t="s">
        <v>38</v>
      </c>
      <c r="L62" s="5" t="s">
        <v>38</v>
      </c>
      <c r="M62" s="5" t="s">
        <v>38</v>
      </c>
      <c r="N62" s="5"/>
      <c r="O62" s="5" t="s">
        <v>39</v>
      </c>
      <c r="P62" s="6"/>
      <c r="Q62" s="6"/>
    </row>
    <row r="63" spans="1:17" ht="34.5" customHeight="1" x14ac:dyDescent="0.2">
      <c r="A63" s="5" t="s">
        <v>133</v>
      </c>
      <c r="B63" s="5" t="s">
        <v>33</v>
      </c>
      <c r="C63" s="5">
        <v>6</v>
      </c>
      <c r="D63" s="5" t="s">
        <v>48</v>
      </c>
      <c r="E63" s="5" t="s">
        <v>144</v>
      </c>
      <c r="F63" s="5" t="s">
        <v>145</v>
      </c>
      <c r="G63" s="5" t="s">
        <v>51</v>
      </c>
      <c r="H63" s="5" t="s">
        <v>37</v>
      </c>
      <c r="I63" s="5">
        <v>17.8</v>
      </c>
      <c r="J63" s="5">
        <v>19.3</v>
      </c>
      <c r="K63" s="5" t="s">
        <v>38</v>
      </c>
      <c r="L63" s="5" t="s">
        <v>38</v>
      </c>
      <c r="M63" s="5" t="s">
        <v>38</v>
      </c>
      <c r="N63" s="5"/>
      <c r="O63" s="5" t="s">
        <v>39</v>
      </c>
      <c r="P63" s="6"/>
      <c r="Q63" s="6"/>
    </row>
    <row r="64" spans="1:17" ht="34.5" customHeight="1" x14ac:dyDescent="0.2">
      <c r="A64" s="5" t="s">
        <v>133</v>
      </c>
      <c r="B64" s="5" t="s">
        <v>33</v>
      </c>
      <c r="C64" s="5">
        <v>7</v>
      </c>
      <c r="D64" s="5" t="s">
        <v>48</v>
      </c>
      <c r="E64" s="5" t="s">
        <v>146</v>
      </c>
      <c r="F64" s="5" t="s">
        <v>147</v>
      </c>
      <c r="G64" s="5" t="s">
        <v>51</v>
      </c>
      <c r="H64" s="5" t="s">
        <v>37</v>
      </c>
      <c r="I64" s="5">
        <v>15</v>
      </c>
      <c r="J64" s="5">
        <v>8.8000000000000007</v>
      </c>
      <c r="K64" s="5" t="s">
        <v>38</v>
      </c>
      <c r="L64" s="5" t="s">
        <v>38</v>
      </c>
      <c r="M64" s="5" t="s">
        <v>38</v>
      </c>
      <c r="N64" s="5"/>
      <c r="O64" s="5" t="s">
        <v>39</v>
      </c>
      <c r="P64" s="6"/>
      <c r="Q64" s="6"/>
    </row>
    <row r="65" spans="1:17" ht="34.5" customHeight="1" x14ac:dyDescent="0.2">
      <c r="A65" s="5" t="s">
        <v>133</v>
      </c>
      <c r="B65" s="5" t="s">
        <v>33</v>
      </c>
      <c r="C65" s="5">
        <v>8</v>
      </c>
      <c r="D65" s="5" t="s">
        <v>48</v>
      </c>
      <c r="E65" s="5" t="s">
        <v>148</v>
      </c>
      <c r="F65" s="5" t="s">
        <v>149</v>
      </c>
      <c r="G65" s="5" t="s">
        <v>51</v>
      </c>
      <c r="H65" s="5" t="s">
        <v>37</v>
      </c>
      <c r="I65" s="5">
        <v>14.4</v>
      </c>
      <c r="J65" s="5">
        <v>13.9</v>
      </c>
      <c r="K65" s="5" t="s">
        <v>38</v>
      </c>
      <c r="L65" s="5" t="s">
        <v>38</v>
      </c>
      <c r="M65" s="5" t="s">
        <v>38</v>
      </c>
      <c r="N65" s="5"/>
      <c r="O65" s="5" t="s">
        <v>39</v>
      </c>
      <c r="P65" s="6"/>
      <c r="Q65" s="6"/>
    </row>
    <row r="66" spans="1:17" ht="23.25" customHeight="1" x14ac:dyDescent="0.2">
      <c r="A66" s="7" t="s">
        <v>133</v>
      </c>
      <c r="B66" s="7" t="s">
        <v>33</v>
      </c>
      <c r="C66" s="7">
        <v>9</v>
      </c>
      <c r="D66" s="7" t="s">
        <v>48</v>
      </c>
      <c r="E66" s="7" t="s">
        <v>150</v>
      </c>
      <c r="F66" s="7" t="s">
        <v>151</v>
      </c>
      <c r="G66" s="7" t="s">
        <v>51</v>
      </c>
      <c r="H66" s="7" t="s">
        <v>37</v>
      </c>
      <c r="I66" s="7">
        <v>15.5</v>
      </c>
      <c r="J66" s="7">
        <v>13.1</v>
      </c>
      <c r="K66" s="7" t="s">
        <v>52</v>
      </c>
      <c r="L66" s="7" t="s">
        <v>38</v>
      </c>
      <c r="M66" s="7" t="s">
        <v>38</v>
      </c>
      <c r="N66" s="7" t="s">
        <v>152</v>
      </c>
      <c r="O66" s="7" t="s">
        <v>39</v>
      </c>
      <c r="P66" s="8" t="s">
        <v>38</v>
      </c>
      <c r="Q66" s="6"/>
    </row>
    <row r="67" spans="1:17" ht="34.5" customHeight="1" x14ac:dyDescent="0.2">
      <c r="A67" s="5" t="s">
        <v>133</v>
      </c>
      <c r="B67" s="5" t="s">
        <v>33</v>
      </c>
      <c r="C67" s="5">
        <v>10</v>
      </c>
      <c r="D67" s="5" t="s">
        <v>48</v>
      </c>
      <c r="E67" s="5" t="s">
        <v>153</v>
      </c>
      <c r="F67" s="5" t="s">
        <v>154</v>
      </c>
      <c r="G67" s="5" t="s">
        <v>51</v>
      </c>
      <c r="H67" s="5" t="s">
        <v>37</v>
      </c>
      <c r="I67" s="5">
        <v>11.1</v>
      </c>
      <c r="J67" s="5">
        <v>8.5</v>
      </c>
      <c r="K67" s="5" t="s">
        <v>38</v>
      </c>
      <c r="L67" s="5" t="s">
        <v>38</v>
      </c>
      <c r="M67" s="5" t="s">
        <v>38</v>
      </c>
      <c r="N67" s="5"/>
      <c r="O67" s="5" t="s">
        <v>39</v>
      </c>
      <c r="P67" s="6"/>
      <c r="Q67" s="6"/>
    </row>
    <row r="68" spans="1:17" ht="23.25" customHeight="1" x14ac:dyDescent="0.2">
      <c r="A68" s="5" t="s">
        <v>133</v>
      </c>
      <c r="B68" s="5" t="s">
        <v>56</v>
      </c>
      <c r="C68" s="5">
        <v>1</v>
      </c>
      <c r="D68" s="5" t="s">
        <v>34</v>
      </c>
      <c r="E68" s="5" t="s">
        <v>134</v>
      </c>
      <c r="F68" s="5" t="s">
        <v>155</v>
      </c>
      <c r="G68" s="5" t="s">
        <v>37</v>
      </c>
      <c r="H68" s="5" t="s">
        <v>37</v>
      </c>
      <c r="I68" s="5">
        <v>11.8</v>
      </c>
      <c r="J68" s="5">
        <v>11.8</v>
      </c>
      <c r="K68" s="5" t="s">
        <v>38</v>
      </c>
      <c r="L68" s="5" t="s">
        <v>38</v>
      </c>
      <c r="M68" s="5" t="s">
        <v>38</v>
      </c>
      <c r="N68" s="5"/>
      <c r="O68" s="5" t="s">
        <v>39</v>
      </c>
      <c r="P68" s="6"/>
      <c r="Q68" s="6"/>
    </row>
    <row r="69" spans="1:17" ht="23.25" customHeight="1" x14ac:dyDescent="0.2">
      <c r="A69" s="5" t="s">
        <v>133</v>
      </c>
      <c r="B69" s="5" t="s">
        <v>56</v>
      </c>
      <c r="C69" s="5">
        <v>2</v>
      </c>
      <c r="D69" s="5" t="s">
        <v>34</v>
      </c>
      <c r="E69" s="5" t="s">
        <v>136</v>
      </c>
      <c r="F69" s="5" t="s">
        <v>156</v>
      </c>
      <c r="G69" s="5" t="s">
        <v>37</v>
      </c>
      <c r="H69" s="5" t="s">
        <v>37</v>
      </c>
      <c r="I69" s="5">
        <v>8.4</v>
      </c>
      <c r="J69" s="5">
        <v>7.7</v>
      </c>
      <c r="K69" s="5" t="s">
        <v>38</v>
      </c>
      <c r="L69" s="5" t="s">
        <v>38</v>
      </c>
      <c r="M69" s="5" t="s">
        <v>38</v>
      </c>
      <c r="N69" s="5"/>
      <c r="O69" s="5" t="s">
        <v>39</v>
      </c>
      <c r="P69" s="6"/>
      <c r="Q69" s="6"/>
    </row>
    <row r="70" spans="1:17" ht="15" customHeight="1" x14ac:dyDescent="0.2">
      <c r="A70" s="5" t="s">
        <v>133</v>
      </c>
      <c r="B70" s="5" t="s">
        <v>56</v>
      </c>
      <c r="C70" s="5">
        <v>3</v>
      </c>
      <c r="D70" s="5" t="s">
        <v>34</v>
      </c>
      <c r="E70" s="5" t="s">
        <v>157</v>
      </c>
      <c r="F70" s="5" t="s">
        <v>158</v>
      </c>
      <c r="G70" s="5" t="s">
        <v>37</v>
      </c>
      <c r="H70" s="5" t="s">
        <v>37</v>
      </c>
      <c r="I70" s="5">
        <v>4</v>
      </c>
      <c r="J70" s="5">
        <v>3.7</v>
      </c>
      <c r="K70" s="5" t="s">
        <v>38</v>
      </c>
      <c r="L70" s="5" t="s">
        <v>38</v>
      </c>
      <c r="M70" s="5" t="s">
        <v>38</v>
      </c>
      <c r="N70" s="5"/>
      <c r="O70" s="5" t="s">
        <v>39</v>
      </c>
      <c r="P70" s="6"/>
      <c r="Q70" s="6"/>
    </row>
    <row r="71" spans="1:17" ht="15" customHeight="1" x14ac:dyDescent="0.2">
      <c r="A71" s="5" t="s">
        <v>133</v>
      </c>
      <c r="B71" s="5" t="s">
        <v>56</v>
      </c>
      <c r="C71" s="5">
        <v>4</v>
      </c>
      <c r="D71" s="5" t="s">
        <v>48</v>
      </c>
      <c r="E71" s="5" t="s">
        <v>141</v>
      </c>
      <c r="F71" s="5" t="s">
        <v>84</v>
      </c>
      <c r="G71" s="5" t="s">
        <v>51</v>
      </c>
      <c r="H71" s="5" t="s">
        <v>37</v>
      </c>
      <c r="I71" s="5">
        <v>6.6</v>
      </c>
      <c r="J71" s="5">
        <v>4.5</v>
      </c>
      <c r="K71" s="5" t="s">
        <v>38</v>
      </c>
      <c r="L71" s="5" t="s">
        <v>38</v>
      </c>
      <c r="M71" s="5" t="s">
        <v>38</v>
      </c>
      <c r="N71" s="5"/>
      <c r="O71" s="5" t="s">
        <v>39</v>
      </c>
      <c r="P71" s="6"/>
      <c r="Q71" s="6"/>
    </row>
    <row r="72" spans="1:17" ht="34.5" customHeight="1" x14ac:dyDescent="0.2">
      <c r="A72" s="5" t="s">
        <v>133</v>
      </c>
      <c r="B72" s="5" t="s">
        <v>56</v>
      </c>
      <c r="C72" s="5">
        <v>5</v>
      </c>
      <c r="D72" s="5" t="s">
        <v>48</v>
      </c>
      <c r="E72" s="5" t="s">
        <v>142</v>
      </c>
      <c r="F72" s="5" t="s">
        <v>159</v>
      </c>
      <c r="G72" s="5" t="s">
        <v>51</v>
      </c>
      <c r="H72" s="5" t="s">
        <v>37</v>
      </c>
      <c r="I72" s="5">
        <v>14</v>
      </c>
      <c r="J72" s="5">
        <v>14</v>
      </c>
      <c r="K72" s="5" t="s">
        <v>38</v>
      </c>
      <c r="L72" s="5" t="s">
        <v>38</v>
      </c>
      <c r="M72" s="5" t="s">
        <v>38</v>
      </c>
      <c r="N72" s="5"/>
      <c r="O72" s="5" t="s">
        <v>39</v>
      </c>
      <c r="P72" s="6"/>
      <c r="Q72" s="6"/>
    </row>
    <row r="73" spans="1:17" ht="34.5" customHeight="1" x14ac:dyDescent="0.2">
      <c r="A73" s="5" t="s">
        <v>133</v>
      </c>
      <c r="B73" s="5" t="s">
        <v>56</v>
      </c>
      <c r="C73" s="5">
        <v>6</v>
      </c>
      <c r="D73" s="5" t="s">
        <v>48</v>
      </c>
      <c r="E73" s="5" t="s">
        <v>144</v>
      </c>
      <c r="F73" s="5" t="s">
        <v>160</v>
      </c>
      <c r="G73" s="5" t="s">
        <v>51</v>
      </c>
      <c r="H73" s="5" t="s">
        <v>37</v>
      </c>
      <c r="I73" s="5">
        <v>17.8</v>
      </c>
      <c r="J73" s="5">
        <v>18</v>
      </c>
      <c r="K73" s="5" t="s">
        <v>38</v>
      </c>
      <c r="L73" s="5" t="s">
        <v>38</v>
      </c>
      <c r="M73" s="5" t="s">
        <v>38</v>
      </c>
      <c r="N73" s="5"/>
      <c r="O73" s="5" t="s">
        <v>39</v>
      </c>
      <c r="P73" s="6"/>
      <c r="Q73" s="6"/>
    </row>
    <row r="74" spans="1:17" ht="34.5" customHeight="1" x14ac:dyDescent="0.2">
      <c r="A74" s="5" t="s">
        <v>133</v>
      </c>
      <c r="B74" s="5" t="s">
        <v>56</v>
      </c>
      <c r="C74" s="5">
        <v>7</v>
      </c>
      <c r="D74" s="5" t="s">
        <v>48</v>
      </c>
      <c r="E74" s="5" t="s">
        <v>146</v>
      </c>
      <c r="F74" s="5" t="s">
        <v>161</v>
      </c>
      <c r="G74" s="5" t="s">
        <v>51</v>
      </c>
      <c r="H74" s="5" t="s">
        <v>37</v>
      </c>
      <c r="I74" s="5">
        <v>15</v>
      </c>
      <c r="J74" s="5">
        <v>9</v>
      </c>
      <c r="K74" s="5" t="s">
        <v>38</v>
      </c>
      <c r="L74" s="5" t="s">
        <v>38</v>
      </c>
      <c r="M74" s="5" t="s">
        <v>38</v>
      </c>
      <c r="N74" s="5"/>
      <c r="O74" s="5" t="s">
        <v>39</v>
      </c>
      <c r="P74" s="6"/>
      <c r="Q74" s="6"/>
    </row>
    <row r="75" spans="1:17" ht="34.5" customHeight="1" x14ac:dyDescent="0.2">
      <c r="A75" s="7" t="s">
        <v>133</v>
      </c>
      <c r="B75" s="7" t="s">
        <v>56</v>
      </c>
      <c r="C75" s="7">
        <v>8</v>
      </c>
      <c r="D75" s="7" t="s">
        <v>48</v>
      </c>
      <c r="E75" s="7" t="s">
        <v>148</v>
      </c>
      <c r="F75" s="7" t="s">
        <v>162</v>
      </c>
      <c r="G75" s="7" t="s">
        <v>51</v>
      </c>
      <c r="H75" s="7" t="s">
        <v>37</v>
      </c>
      <c r="I75" s="7">
        <v>14.4</v>
      </c>
      <c r="J75" s="7">
        <v>14.5</v>
      </c>
      <c r="K75" s="7" t="s">
        <v>38</v>
      </c>
      <c r="L75" s="7" t="s">
        <v>52</v>
      </c>
      <c r="M75" s="7" t="s">
        <v>38</v>
      </c>
      <c r="N75" s="7" t="s">
        <v>163</v>
      </c>
      <c r="O75" s="7" t="s">
        <v>39</v>
      </c>
      <c r="P75" s="8" t="s">
        <v>38</v>
      </c>
      <c r="Q75" s="6"/>
    </row>
    <row r="76" spans="1:17" ht="23.25" customHeight="1" x14ac:dyDescent="0.2">
      <c r="A76" s="7" t="s">
        <v>133</v>
      </c>
      <c r="B76" s="7" t="s">
        <v>56</v>
      </c>
      <c r="C76" s="7">
        <v>9</v>
      </c>
      <c r="D76" s="7" t="s">
        <v>48</v>
      </c>
      <c r="E76" s="7" t="s">
        <v>150</v>
      </c>
      <c r="F76" s="7" t="s">
        <v>164</v>
      </c>
      <c r="G76" s="7" t="s">
        <v>51</v>
      </c>
      <c r="H76" s="7" t="s">
        <v>37</v>
      </c>
      <c r="I76" s="7">
        <v>15.5</v>
      </c>
      <c r="J76" s="7">
        <v>14.3</v>
      </c>
      <c r="K76" s="7" t="s">
        <v>52</v>
      </c>
      <c r="L76" s="7" t="s">
        <v>38</v>
      </c>
      <c r="M76" s="7" t="s">
        <v>38</v>
      </c>
      <c r="N76" s="7" t="s">
        <v>152</v>
      </c>
      <c r="O76" s="7" t="s">
        <v>39</v>
      </c>
      <c r="P76" s="8" t="s">
        <v>38</v>
      </c>
      <c r="Q76" s="6"/>
    </row>
    <row r="77" spans="1:17" ht="15" customHeight="1" x14ac:dyDescent="0.2">
      <c r="A77" s="5" t="s">
        <v>165</v>
      </c>
      <c r="B77" s="5" t="s">
        <v>33</v>
      </c>
      <c r="C77" s="5">
        <v>1</v>
      </c>
      <c r="D77" s="5" t="s">
        <v>34</v>
      </c>
      <c r="E77" s="5" t="s">
        <v>166</v>
      </c>
      <c r="F77" s="5" t="s">
        <v>167</v>
      </c>
      <c r="G77" s="5" t="s">
        <v>37</v>
      </c>
      <c r="H77" s="5" t="s">
        <v>37</v>
      </c>
      <c r="I77" s="5">
        <v>0.6</v>
      </c>
      <c r="J77" s="5">
        <v>0.8</v>
      </c>
      <c r="K77" s="5" t="s">
        <v>38</v>
      </c>
      <c r="L77" s="5" t="s">
        <v>38</v>
      </c>
      <c r="M77" s="5" t="s">
        <v>38</v>
      </c>
      <c r="N77" s="5"/>
      <c r="O77" s="5" t="s">
        <v>39</v>
      </c>
      <c r="P77" s="6"/>
      <c r="Q77" s="6"/>
    </row>
    <row r="78" spans="1:17" ht="23.25" customHeight="1" x14ac:dyDescent="0.2">
      <c r="A78" s="5" t="s">
        <v>165</v>
      </c>
      <c r="B78" s="5" t="s">
        <v>33</v>
      </c>
      <c r="C78" s="5">
        <v>2</v>
      </c>
      <c r="D78" s="5" t="s">
        <v>34</v>
      </c>
      <c r="E78" s="5" t="s">
        <v>168</v>
      </c>
      <c r="F78" s="5" t="s">
        <v>169</v>
      </c>
      <c r="G78" s="5" t="s">
        <v>37</v>
      </c>
      <c r="H78" s="5" t="s">
        <v>37</v>
      </c>
      <c r="I78" s="5">
        <v>7.6</v>
      </c>
      <c r="J78" s="5">
        <v>9.8000000000000007</v>
      </c>
      <c r="K78" s="5" t="s">
        <v>38</v>
      </c>
      <c r="L78" s="5" t="s">
        <v>38</v>
      </c>
      <c r="M78" s="5" t="s">
        <v>38</v>
      </c>
      <c r="N78" s="5"/>
      <c r="O78" s="5" t="s">
        <v>39</v>
      </c>
      <c r="P78" s="6"/>
      <c r="Q78" s="6"/>
    </row>
    <row r="79" spans="1:17" ht="23.25" customHeight="1" x14ac:dyDescent="0.2">
      <c r="A79" s="5" t="s">
        <v>165</v>
      </c>
      <c r="B79" s="5" t="s">
        <v>33</v>
      </c>
      <c r="C79" s="5">
        <v>3</v>
      </c>
      <c r="D79" s="5" t="s">
        <v>34</v>
      </c>
      <c r="E79" s="5" t="s">
        <v>170</v>
      </c>
      <c r="F79" s="5" t="s">
        <v>171</v>
      </c>
      <c r="G79" s="5" t="s">
        <v>37</v>
      </c>
      <c r="H79" s="5" t="s">
        <v>37</v>
      </c>
      <c r="I79" s="5">
        <v>11.1</v>
      </c>
      <c r="J79" s="5">
        <v>3.8</v>
      </c>
      <c r="K79" s="5" t="s">
        <v>38</v>
      </c>
      <c r="L79" s="5" t="s">
        <v>38</v>
      </c>
      <c r="M79" s="5" t="s">
        <v>38</v>
      </c>
      <c r="N79" s="5"/>
      <c r="O79" s="5" t="s">
        <v>39</v>
      </c>
      <c r="P79" s="6"/>
      <c r="Q79" s="6"/>
    </row>
    <row r="80" spans="1:17" ht="34.5" customHeight="1" x14ac:dyDescent="0.2">
      <c r="A80" s="7" t="s">
        <v>165</v>
      </c>
      <c r="B80" s="7" t="s">
        <v>33</v>
      </c>
      <c r="C80" s="7">
        <v>4</v>
      </c>
      <c r="D80" s="7" t="s">
        <v>34</v>
      </c>
      <c r="E80" s="7" t="s">
        <v>172</v>
      </c>
      <c r="F80" s="7" t="s">
        <v>173</v>
      </c>
      <c r="G80" s="7" t="s">
        <v>37</v>
      </c>
      <c r="H80" s="7" t="s">
        <v>37</v>
      </c>
      <c r="I80" s="7">
        <v>9.6999999999999993</v>
      </c>
      <c r="J80" s="7">
        <v>1.6</v>
      </c>
      <c r="K80" s="7" t="s">
        <v>52</v>
      </c>
      <c r="L80" s="7" t="s">
        <v>52</v>
      </c>
      <c r="M80" s="7" t="s">
        <v>52</v>
      </c>
      <c r="N80" s="7" t="s">
        <v>174</v>
      </c>
      <c r="O80" s="7" t="s">
        <v>39</v>
      </c>
      <c r="P80" s="8" t="s">
        <v>38</v>
      </c>
      <c r="Q80" s="6"/>
    </row>
    <row r="81" spans="1:17" ht="23.25" customHeight="1" x14ac:dyDescent="0.2">
      <c r="A81" s="5" t="s">
        <v>165</v>
      </c>
      <c r="B81" s="5" t="s">
        <v>33</v>
      </c>
      <c r="C81" s="5">
        <v>5</v>
      </c>
      <c r="D81" s="5" t="s">
        <v>48</v>
      </c>
      <c r="E81" s="5" t="s">
        <v>175</v>
      </c>
      <c r="F81" s="5" t="s">
        <v>176</v>
      </c>
      <c r="G81" s="5" t="s">
        <v>51</v>
      </c>
      <c r="H81" s="5" t="s">
        <v>37</v>
      </c>
      <c r="I81" s="5">
        <v>15.8</v>
      </c>
      <c r="J81" s="5">
        <v>5.9</v>
      </c>
      <c r="K81" s="5" t="s">
        <v>38</v>
      </c>
      <c r="L81" s="5" t="s">
        <v>38</v>
      </c>
      <c r="M81" s="5" t="s">
        <v>38</v>
      </c>
      <c r="N81" s="5"/>
      <c r="O81" s="5" t="s">
        <v>39</v>
      </c>
      <c r="P81" s="6"/>
      <c r="Q81" s="6"/>
    </row>
    <row r="82" spans="1:17" ht="23.25" customHeight="1" x14ac:dyDescent="0.2">
      <c r="A82" s="5" t="s">
        <v>165</v>
      </c>
      <c r="B82" s="5" t="s">
        <v>33</v>
      </c>
      <c r="C82" s="5">
        <v>6</v>
      </c>
      <c r="D82" s="5" t="s">
        <v>48</v>
      </c>
      <c r="E82" s="5" t="s">
        <v>177</v>
      </c>
      <c r="F82" s="5" t="s">
        <v>178</v>
      </c>
      <c r="G82" s="5" t="s">
        <v>51</v>
      </c>
      <c r="H82" s="5" t="s">
        <v>37</v>
      </c>
      <c r="I82" s="5">
        <v>24.1</v>
      </c>
      <c r="J82" s="5">
        <v>7.6</v>
      </c>
      <c r="K82" s="5" t="s">
        <v>38</v>
      </c>
      <c r="L82" s="5" t="s">
        <v>38</v>
      </c>
      <c r="M82" s="5" t="s">
        <v>38</v>
      </c>
      <c r="N82" s="5"/>
      <c r="O82" s="5" t="s">
        <v>39</v>
      </c>
      <c r="P82" s="6"/>
      <c r="Q82" s="6"/>
    </row>
    <row r="83" spans="1:17" ht="23.25" customHeight="1" x14ac:dyDescent="0.2">
      <c r="A83" s="5" t="s">
        <v>165</v>
      </c>
      <c r="B83" s="5" t="s">
        <v>33</v>
      </c>
      <c r="C83" s="5">
        <v>7</v>
      </c>
      <c r="D83" s="5" t="s">
        <v>48</v>
      </c>
      <c r="E83" s="5" t="s">
        <v>179</v>
      </c>
      <c r="F83" s="5" t="s">
        <v>180</v>
      </c>
      <c r="G83" s="5" t="s">
        <v>51</v>
      </c>
      <c r="H83" s="5" t="s">
        <v>37</v>
      </c>
      <c r="I83" s="5">
        <v>12.3</v>
      </c>
      <c r="J83" s="5">
        <v>6.5</v>
      </c>
      <c r="K83" s="5" t="s">
        <v>38</v>
      </c>
      <c r="L83" s="5" t="s">
        <v>38</v>
      </c>
      <c r="M83" s="5" t="s">
        <v>38</v>
      </c>
      <c r="N83" s="5"/>
      <c r="O83" s="5" t="s">
        <v>39</v>
      </c>
      <c r="P83" s="6"/>
      <c r="Q83" s="6"/>
    </row>
    <row r="84" spans="1:17" ht="23.25" customHeight="1" x14ac:dyDescent="0.2">
      <c r="A84" s="5" t="s">
        <v>165</v>
      </c>
      <c r="B84" s="5" t="s">
        <v>33</v>
      </c>
      <c r="C84" s="5">
        <v>8</v>
      </c>
      <c r="D84" s="5" t="s">
        <v>48</v>
      </c>
      <c r="E84" s="5" t="s">
        <v>181</v>
      </c>
      <c r="F84" s="5" t="s">
        <v>182</v>
      </c>
      <c r="G84" s="5" t="s">
        <v>51</v>
      </c>
      <c r="H84" s="5" t="s">
        <v>37</v>
      </c>
      <c r="I84" s="5">
        <v>18.7</v>
      </c>
      <c r="J84" s="5">
        <v>12.3</v>
      </c>
      <c r="K84" s="5" t="s">
        <v>38</v>
      </c>
      <c r="L84" s="5" t="s">
        <v>38</v>
      </c>
      <c r="M84" s="5" t="s">
        <v>38</v>
      </c>
      <c r="N84" s="5"/>
      <c r="O84" s="5" t="s">
        <v>39</v>
      </c>
      <c r="P84" s="6"/>
      <c r="Q84" s="6"/>
    </row>
    <row r="85" spans="1:17" ht="23.25" customHeight="1" x14ac:dyDescent="0.2">
      <c r="A85" s="7" t="s">
        <v>165</v>
      </c>
      <c r="B85" s="7" t="s">
        <v>33</v>
      </c>
      <c r="C85" s="7">
        <v>9</v>
      </c>
      <c r="D85" s="7" t="s">
        <v>48</v>
      </c>
      <c r="E85" s="7" t="s">
        <v>183</v>
      </c>
      <c r="F85" s="7" t="s">
        <v>184</v>
      </c>
      <c r="G85" s="7" t="s">
        <v>51</v>
      </c>
      <c r="H85" s="7" t="s">
        <v>37</v>
      </c>
      <c r="I85" s="7">
        <v>11.2</v>
      </c>
      <c r="J85" s="7">
        <v>2.2999999999999998</v>
      </c>
      <c r="K85" s="7" t="s">
        <v>52</v>
      </c>
      <c r="L85" s="7" t="s">
        <v>38</v>
      </c>
      <c r="M85" s="7" t="s">
        <v>38</v>
      </c>
      <c r="N85" s="7" t="s">
        <v>185</v>
      </c>
      <c r="O85" s="7" t="s">
        <v>39</v>
      </c>
      <c r="P85" s="8" t="s">
        <v>38</v>
      </c>
      <c r="Q85" s="6"/>
    </row>
    <row r="86" spans="1:17" ht="15" customHeight="1" x14ac:dyDescent="0.2">
      <c r="A86" s="5" t="s">
        <v>165</v>
      </c>
      <c r="B86" s="5" t="s">
        <v>33</v>
      </c>
      <c r="C86" s="5">
        <v>10</v>
      </c>
      <c r="D86" s="5" t="s">
        <v>48</v>
      </c>
      <c r="E86" s="5" t="s">
        <v>186</v>
      </c>
      <c r="F86" s="5" t="s">
        <v>187</v>
      </c>
      <c r="G86" s="5" t="s">
        <v>51</v>
      </c>
      <c r="H86" s="5" t="s">
        <v>37</v>
      </c>
      <c r="I86" s="5">
        <v>-1.4</v>
      </c>
      <c r="J86" s="5">
        <v>-1.1000000000000001</v>
      </c>
      <c r="K86" s="5" t="s">
        <v>38</v>
      </c>
      <c r="L86" s="5" t="s">
        <v>38</v>
      </c>
      <c r="M86" s="5" t="s">
        <v>38</v>
      </c>
      <c r="N86" s="5"/>
      <c r="O86" s="5" t="s">
        <v>39</v>
      </c>
      <c r="P86" s="6"/>
      <c r="Q86" s="6"/>
    </row>
    <row r="87" spans="1:17" ht="15" customHeight="1" x14ac:dyDescent="0.2">
      <c r="A87" s="5" t="s">
        <v>165</v>
      </c>
      <c r="B87" s="5" t="s">
        <v>56</v>
      </c>
      <c r="C87" s="5">
        <v>1</v>
      </c>
      <c r="D87" s="5" t="s">
        <v>34</v>
      </c>
      <c r="E87" s="5" t="s">
        <v>166</v>
      </c>
      <c r="F87" s="5" t="s">
        <v>167</v>
      </c>
      <c r="G87" s="5" t="s">
        <v>37</v>
      </c>
      <c r="H87" s="5" t="s">
        <v>37</v>
      </c>
      <c r="I87" s="5">
        <v>0.6</v>
      </c>
      <c r="J87" s="5">
        <v>0.8</v>
      </c>
      <c r="K87" s="5" t="s">
        <v>38</v>
      </c>
      <c r="L87" s="5" t="s">
        <v>38</v>
      </c>
      <c r="M87" s="5" t="s">
        <v>38</v>
      </c>
      <c r="N87" s="5"/>
      <c r="O87" s="5" t="s">
        <v>39</v>
      </c>
      <c r="P87" s="6"/>
      <c r="Q87" s="6"/>
    </row>
    <row r="88" spans="1:17" ht="23.25" customHeight="1" x14ac:dyDescent="0.2">
      <c r="A88" s="5" t="s">
        <v>165</v>
      </c>
      <c r="B88" s="5" t="s">
        <v>56</v>
      </c>
      <c r="C88" s="5">
        <v>2</v>
      </c>
      <c r="D88" s="5" t="s">
        <v>34</v>
      </c>
      <c r="E88" s="5" t="s">
        <v>168</v>
      </c>
      <c r="F88" s="5" t="s">
        <v>188</v>
      </c>
      <c r="G88" s="5" t="s">
        <v>37</v>
      </c>
      <c r="H88" s="5" t="s">
        <v>37</v>
      </c>
      <c r="I88" s="5">
        <v>7.6</v>
      </c>
      <c r="J88" s="5">
        <v>9.1</v>
      </c>
      <c r="K88" s="5" t="s">
        <v>38</v>
      </c>
      <c r="L88" s="5" t="s">
        <v>38</v>
      </c>
      <c r="M88" s="5" t="s">
        <v>38</v>
      </c>
      <c r="N88" s="5"/>
      <c r="O88" s="5" t="s">
        <v>39</v>
      </c>
      <c r="P88" s="6"/>
      <c r="Q88" s="6"/>
    </row>
    <row r="89" spans="1:17" ht="23.25" customHeight="1" x14ac:dyDescent="0.2">
      <c r="A89" s="5" t="s">
        <v>165</v>
      </c>
      <c r="B89" s="5" t="s">
        <v>56</v>
      </c>
      <c r="C89" s="5">
        <v>3</v>
      </c>
      <c r="D89" s="5" t="s">
        <v>34</v>
      </c>
      <c r="E89" s="5" t="s">
        <v>170</v>
      </c>
      <c r="F89" s="5" t="s">
        <v>189</v>
      </c>
      <c r="G89" s="5" t="s">
        <v>37</v>
      </c>
      <c r="H89" s="5" t="s">
        <v>37</v>
      </c>
      <c r="I89" s="5">
        <v>11.1</v>
      </c>
      <c r="J89" s="5">
        <v>8.6999999999999993</v>
      </c>
      <c r="K89" s="5" t="s">
        <v>38</v>
      </c>
      <c r="L89" s="5" t="s">
        <v>38</v>
      </c>
      <c r="M89" s="5" t="s">
        <v>38</v>
      </c>
      <c r="N89" s="5"/>
      <c r="O89" s="5" t="s">
        <v>39</v>
      </c>
      <c r="P89" s="6"/>
      <c r="Q89" s="6"/>
    </row>
    <row r="90" spans="1:17" ht="23.25" customHeight="1" x14ac:dyDescent="0.2">
      <c r="A90" s="7" t="s">
        <v>165</v>
      </c>
      <c r="B90" s="7" t="s">
        <v>56</v>
      </c>
      <c r="C90" s="7">
        <v>4</v>
      </c>
      <c r="D90" s="7" t="s">
        <v>48</v>
      </c>
      <c r="E90" s="7" t="s">
        <v>175</v>
      </c>
      <c r="F90" s="7" t="s">
        <v>190</v>
      </c>
      <c r="G90" s="7" t="s">
        <v>51</v>
      </c>
      <c r="H90" s="7" t="s">
        <v>37</v>
      </c>
      <c r="I90" s="7">
        <v>15.8</v>
      </c>
      <c r="J90" s="7">
        <v>5.6</v>
      </c>
      <c r="K90" s="7" t="s">
        <v>52</v>
      </c>
      <c r="L90" s="7" t="s">
        <v>38</v>
      </c>
      <c r="M90" s="7" t="s">
        <v>38</v>
      </c>
      <c r="N90" s="7" t="s">
        <v>191</v>
      </c>
      <c r="O90" s="7" t="s">
        <v>39</v>
      </c>
      <c r="P90" s="8" t="s">
        <v>38</v>
      </c>
      <c r="Q90" s="6"/>
    </row>
    <row r="91" spans="1:17" ht="23.25" customHeight="1" x14ac:dyDescent="0.2">
      <c r="A91" s="5" t="s">
        <v>165</v>
      </c>
      <c r="B91" s="5" t="s">
        <v>56</v>
      </c>
      <c r="C91" s="5">
        <v>5</v>
      </c>
      <c r="D91" s="5" t="s">
        <v>48</v>
      </c>
      <c r="E91" s="5" t="s">
        <v>177</v>
      </c>
      <c r="F91" s="5" t="s">
        <v>178</v>
      </c>
      <c r="G91" s="5" t="s">
        <v>51</v>
      </c>
      <c r="H91" s="5" t="s">
        <v>37</v>
      </c>
      <c r="I91" s="5">
        <v>24.1</v>
      </c>
      <c r="J91" s="5">
        <v>7.6</v>
      </c>
      <c r="K91" s="5" t="s">
        <v>38</v>
      </c>
      <c r="L91" s="5" t="s">
        <v>38</v>
      </c>
      <c r="M91" s="5" t="s">
        <v>38</v>
      </c>
      <c r="N91" s="5"/>
      <c r="O91" s="5" t="s">
        <v>39</v>
      </c>
      <c r="P91" s="6"/>
      <c r="Q91" s="6"/>
    </row>
    <row r="92" spans="1:17" ht="23.25" customHeight="1" x14ac:dyDescent="0.2">
      <c r="A92" s="5" t="s">
        <v>165</v>
      </c>
      <c r="B92" s="5" t="s">
        <v>56</v>
      </c>
      <c r="C92" s="5">
        <v>6</v>
      </c>
      <c r="D92" s="5" t="s">
        <v>48</v>
      </c>
      <c r="E92" s="5" t="s">
        <v>192</v>
      </c>
      <c r="F92" s="5" t="s">
        <v>193</v>
      </c>
      <c r="G92" s="5" t="s">
        <v>51</v>
      </c>
      <c r="H92" s="5" t="s">
        <v>37</v>
      </c>
      <c r="I92" s="5">
        <v>20.6</v>
      </c>
      <c r="J92" s="5">
        <v>8.4</v>
      </c>
      <c r="K92" s="5" t="s">
        <v>38</v>
      </c>
      <c r="L92" s="5" t="s">
        <v>38</v>
      </c>
      <c r="M92" s="5" t="s">
        <v>38</v>
      </c>
      <c r="N92" s="5"/>
      <c r="O92" s="5" t="s">
        <v>39</v>
      </c>
      <c r="P92" s="6"/>
      <c r="Q92" s="6"/>
    </row>
    <row r="93" spans="1:17" ht="34.5" customHeight="1" x14ac:dyDescent="0.2">
      <c r="A93" s="5" t="s">
        <v>165</v>
      </c>
      <c r="B93" s="5" t="s">
        <v>56</v>
      </c>
      <c r="C93" s="5">
        <v>7</v>
      </c>
      <c r="D93" s="5" t="s">
        <v>48</v>
      </c>
      <c r="E93" s="5" t="s">
        <v>179</v>
      </c>
      <c r="F93" s="5" t="s">
        <v>194</v>
      </c>
      <c r="G93" s="5" t="s">
        <v>51</v>
      </c>
      <c r="H93" s="5" t="s">
        <v>37</v>
      </c>
      <c r="I93" s="5">
        <v>12.3</v>
      </c>
      <c r="J93" s="5">
        <v>9.6</v>
      </c>
      <c r="K93" s="5" t="s">
        <v>38</v>
      </c>
      <c r="L93" s="5" t="s">
        <v>38</v>
      </c>
      <c r="M93" s="5" t="s">
        <v>38</v>
      </c>
      <c r="N93" s="5"/>
      <c r="O93" s="5" t="s">
        <v>39</v>
      </c>
      <c r="P93" s="6"/>
      <c r="Q93" s="6"/>
    </row>
    <row r="94" spans="1:17" ht="23.25" customHeight="1" x14ac:dyDescent="0.2">
      <c r="A94" s="5" t="s">
        <v>165</v>
      </c>
      <c r="B94" s="5" t="s">
        <v>56</v>
      </c>
      <c r="C94" s="5">
        <v>8</v>
      </c>
      <c r="D94" s="5" t="s">
        <v>48</v>
      </c>
      <c r="E94" s="5" t="s">
        <v>195</v>
      </c>
      <c r="F94" s="5" t="s">
        <v>196</v>
      </c>
      <c r="G94" s="5" t="s">
        <v>51</v>
      </c>
      <c r="H94" s="5" t="s">
        <v>37</v>
      </c>
      <c r="I94" s="5">
        <v>11.1</v>
      </c>
      <c r="J94" s="5">
        <v>5.8</v>
      </c>
      <c r="K94" s="5" t="s">
        <v>38</v>
      </c>
      <c r="L94" s="5" t="s">
        <v>38</v>
      </c>
      <c r="M94" s="5" t="s">
        <v>38</v>
      </c>
      <c r="N94" s="5"/>
      <c r="O94" s="5" t="s">
        <v>39</v>
      </c>
      <c r="P94" s="6"/>
      <c r="Q94" s="6"/>
    </row>
    <row r="95" spans="1:17" ht="15" customHeight="1" x14ac:dyDescent="0.2">
      <c r="A95" s="5" t="s">
        <v>165</v>
      </c>
      <c r="B95" s="5" t="s">
        <v>56</v>
      </c>
      <c r="C95" s="5">
        <v>9</v>
      </c>
      <c r="D95" s="5" t="s">
        <v>48</v>
      </c>
      <c r="E95" s="5" t="s">
        <v>186</v>
      </c>
      <c r="F95" s="5" t="s">
        <v>197</v>
      </c>
      <c r="G95" s="5" t="s">
        <v>51</v>
      </c>
      <c r="H95" s="5" t="s">
        <v>37</v>
      </c>
      <c r="I95" s="5">
        <v>-1.4</v>
      </c>
      <c r="J95" s="5">
        <v>2.2999999999999998</v>
      </c>
      <c r="K95" s="5" t="s">
        <v>38</v>
      </c>
      <c r="L95" s="5" t="s">
        <v>38</v>
      </c>
      <c r="M95" s="5" t="s">
        <v>38</v>
      </c>
      <c r="N95" s="5"/>
      <c r="O95" s="5" t="s">
        <v>39</v>
      </c>
      <c r="P95" s="6"/>
      <c r="Q95" s="6"/>
    </row>
    <row r="96" spans="1:17" ht="15" customHeight="1" x14ac:dyDescent="0.2">
      <c r="A96" s="5" t="s">
        <v>198</v>
      </c>
      <c r="B96" s="5" t="s">
        <v>33</v>
      </c>
      <c r="C96" s="5">
        <v>1</v>
      </c>
      <c r="D96" s="5" t="s">
        <v>34</v>
      </c>
      <c r="E96" s="5" t="s">
        <v>199</v>
      </c>
      <c r="F96" s="5" t="s">
        <v>200</v>
      </c>
      <c r="G96" s="5" t="s">
        <v>37</v>
      </c>
      <c r="H96" s="5" t="s">
        <v>37</v>
      </c>
      <c r="I96" s="5">
        <v>5.7</v>
      </c>
      <c r="J96" s="5">
        <v>0.8</v>
      </c>
      <c r="K96" s="5" t="s">
        <v>38</v>
      </c>
      <c r="L96" s="5" t="s">
        <v>38</v>
      </c>
      <c r="M96" s="5" t="s">
        <v>38</v>
      </c>
      <c r="N96" s="5"/>
      <c r="O96" s="5" t="s">
        <v>39</v>
      </c>
      <c r="P96" s="6"/>
      <c r="Q96" s="6"/>
    </row>
    <row r="97" spans="1:17" ht="34.5" customHeight="1" x14ac:dyDescent="0.2">
      <c r="A97" s="5" t="s">
        <v>198</v>
      </c>
      <c r="B97" s="5" t="s">
        <v>33</v>
      </c>
      <c r="C97" s="5">
        <v>2</v>
      </c>
      <c r="D97" s="5" t="s">
        <v>34</v>
      </c>
      <c r="E97" s="5" t="s">
        <v>201</v>
      </c>
      <c r="F97" s="5" t="s">
        <v>202</v>
      </c>
      <c r="G97" s="5" t="s">
        <v>37</v>
      </c>
      <c r="H97" s="5" t="s">
        <v>37</v>
      </c>
      <c r="I97" s="5">
        <v>4.8</v>
      </c>
      <c r="J97" s="5">
        <v>4.8</v>
      </c>
      <c r="K97" s="5" t="s">
        <v>38</v>
      </c>
      <c r="L97" s="5" t="s">
        <v>38</v>
      </c>
      <c r="M97" s="5" t="s">
        <v>38</v>
      </c>
      <c r="N97" s="5"/>
      <c r="O97" s="5" t="s">
        <v>39</v>
      </c>
      <c r="P97" s="6"/>
      <c r="Q97" s="6"/>
    </row>
    <row r="98" spans="1:17" ht="34.5" customHeight="1" x14ac:dyDescent="0.2">
      <c r="A98" s="5" t="s">
        <v>198</v>
      </c>
      <c r="B98" s="5" t="s">
        <v>33</v>
      </c>
      <c r="C98" s="5">
        <v>3</v>
      </c>
      <c r="D98" s="5" t="s">
        <v>34</v>
      </c>
      <c r="E98" s="5" t="s">
        <v>203</v>
      </c>
      <c r="F98" s="5" t="s">
        <v>204</v>
      </c>
      <c r="G98" s="5" t="s">
        <v>37</v>
      </c>
      <c r="H98" s="5" t="s">
        <v>37</v>
      </c>
      <c r="I98" s="5">
        <v>10.3</v>
      </c>
      <c r="J98" s="5">
        <v>12.5</v>
      </c>
      <c r="K98" s="5" t="s">
        <v>38</v>
      </c>
      <c r="L98" s="5" t="s">
        <v>38</v>
      </c>
      <c r="M98" s="5" t="s">
        <v>38</v>
      </c>
      <c r="N98" s="5"/>
      <c r="O98" s="5" t="s">
        <v>39</v>
      </c>
      <c r="P98" s="6"/>
      <c r="Q98" s="6"/>
    </row>
    <row r="99" spans="1:17" ht="23.25" customHeight="1" x14ac:dyDescent="0.2">
      <c r="A99" s="5" t="s">
        <v>198</v>
      </c>
      <c r="B99" s="5" t="s">
        <v>33</v>
      </c>
      <c r="C99" s="5">
        <v>4</v>
      </c>
      <c r="D99" s="5" t="s">
        <v>34</v>
      </c>
      <c r="E99" s="5" t="s">
        <v>205</v>
      </c>
      <c r="F99" s="5" t="s">
        <v>206</v>
      </c>
      <c r="G99" s="5" t="s">
        <v>37</v>
      </c>
      <c r="H99" s="5" t="s">
        <v>37</v>
      </c>
      <c r="I99" s="5">
        <v>2.5</v>
      </c>
      <c r="J99" s="5">
        <v>6.7</v>
      </c>
      <c r="K99" s="5" t="s">
        <v>38</v>
      </c>
      <c r="L99" s="5" t="s">
        <v>38</v>
      </c>
      <c r="M99" s="5" t="s">
        <v>38</v>
      </c>
      <c r="N99" s="5"/>
      <c r="O99" s="5" t="s">
        <v>39</v>
      </c>
      <c r="P99" s="6"/>
      <c r="Q99" s="6"/>
    </row>
    <row r="100" spans="1:17" ht="23.25" customHeight="1" x14ac:dyDescent="0.2">
      <c r="A100" s="7" t="s">
        <v>198</v>
      </c>
      <c r="B100" s="7" t="s">
        <v>33</v>
      </c>
      <c r="C100" s="7">
        <v>5</v>
      </c>
      <c r="D100" s="7" t="s">
        <v>34</v>
      </c>
      <c r="E100" s="7" t="s">
        <v>207</v>
      </c>
      <c r="F100" s="7" t="s">
        <v>208</v>
      </c>
      <c r="G100" s="7" t="s">
        <v>37</v>
      </c>
      <c r="H100" s="7" t="s">
        <v>37</v>
      </c>
      <c r="I100" s="7">
        <v>4.8</v>
      </c>
      <c r="J100" s="7">
        <v>4.4000000000000004</v>
      </c>
      <c r="K100" s="7" t="s">
        <v>38</v>
      </c>
      <c r="L100" s="7" t="s">
        <v>52</v>
      </c>
      <c r="M100" s="7" t="s">
        <v>38</v>
      </c>
      <c r="N100" s="7" t="s">
        <v>209</v>
      </c>
      <c r="O100" s="7" t="s">
        <v>39</v>
      </c>
      <c r="P100" s="8" t="s">
        <v>38</v>
      </c>
      <c r="Q100" s="6"/>
    </row>
    <row r="101" spans="1:17" ht="34.5" customHeight="1" x14ac:dyDescent="0.2">
      <c r="A101" s="5" t="s">
        <v>198</v>
      </c>
      <c r="B101" s="5" t="s">
        <v>33</v>
      </c>
      <c r="C101" s="5">
        <v>6</v>
      </c>
      <c r="D101" s="5" t="s">
        <v>48</v>
      </c>
      <c r="E101" s="5" t="s">
        <v>210</v>
      </c>
      <c r="F101" s="5" t="s">
        <v>211</v>
      </c>
      <c r="G101" s="5" t="s">
        <v>51</v>
      </c>
      <c r="H101" s="5" t="s">
        <v>37</v>
      </c>
      <c r="I101" s="5">
        <v>13.7</v>
      </c>
      <c r="J101" s="5">
        <v>10.6</v>
      </c>
      <c r="K101" s="5" t="s">
        <v>38</v>
      </c>
      <c r="L101" s="5" t="s">
        <v>38</v>
      </c>
      <c r="M101" s="5" t="s">
        <v>38</v>
      </c>
      <c r="N101" s="5"/>
      <c r="O101" s="5" t="s">
        <v>39</v>
      </c>
      <c r="P101" s="6"/>
      <c r="Q101" s="6"/>
    </row>
    <row r="102" spans="1:17" ht="34.5" customHeight="1" x14ac:dyDescent="0.2">
      <c r="A102" s="5" t="s">
        <v>198</v>
      </c>
      <c r="B102" s="5" t="s">
        <v>33</v>
      </c>
      <c r="C102" s="5">
        <v>7</v>
      </c>
      <c r="D102" s="5" t="s">
        <v>48</v>
      </c>
      <c r="E102" s="5" t="s">
        <v>212</v>
      </c>
      <c r="F102" s="5" t="s">
        <v>213</v>
      </c>
      <c r="G102" s="5" t="s">
        <v>51</v>
      </c>
      <c r="H102" s="5" t="s">
        <v>37</v>
      </c>
      <c r="I102" s="5">
        <v>17.8</v>
      </c>
      <c r="J102" s="5">
        <v>11.8</v>
      </c>
      <c r="K102" s="5" t="s">
        <v>38</v>
      </c>
      <c r="L102" s="5" t="s">
        <v>38</v>
      </c>
      <c r="M102" s="5" t="s">
        <v>38</v>
      </c>
      <c r="N102" s="5"/>
      <c r="O102" s="5" t="s">
        <v>39</v>
      </c>
      <c r="P102" s="6"/>
      <c r="Q102" s="6"/>
    </row>
    <row r="103" spans="1:17" ht="34.5" customHeight="1" x14ac:dyDescent="0.2">
      <c r="A103" s="5" t="s">
        <v>198</v>
      </c>
      <c r="B103" s="5" t="s">
        <v>33</v>
      </c>
      <c r="C103" s="5">
        <v>8</v>
      </c>
      <c r="D103" s="5" t="s">
        <v>48</v>
      </c>
      <c r="E103" s="5" t="s">
        <v>214</v>
      </c>
      <c r="F103" s="5" t="s">
        <v>215</v>
      </c>
      <c r="G103" s="5" t="s">
        <v>51</v>
      </c>
      <c r="H103" s="5" t="s">
        <v>37</v>
      </c>
      <c r="I103" s="5">
        <v>17.3</v>
      </c>
      <c r="J103" s="5">
        <v>10.5</v>
      </c>
      <c r="K103" s="5" t="s">
        <v>38</v>
      </c>
      <c r="L103" s="5" t="s">
        <v>38</v>
      </c>
      <c r="M103" s="5" t="s">
        <v>38</v>
      </c>
      <c r="N103" s="5"/>
      <c r="O103" s="5" t="s">
        <v>39</v>
      </c>
      <c r="P103" s="6"/>
      <c r="Q103" s="6"/>
    </row>
    <row r="104" spans="1:17" ht="23.25" customHeight="1" x14ac:dyDescent="0.2">
      <c r="A104" s="7" t="s">
        <v>198</v>
      </c>
      <c r="B104" s="7" t="s">
        <v>33</v>
      </c>
      <c r="C104" s="7">
        <v>9</v>
      </c>
      <c r="D104" s="7" t="s">
        <v>48</v>
      </c>
      <c r="E104" s="7" t="s">
        <v>216</v>
      </c>
      <c r="F104" s="7" t="s">
        <v>217</v>
      </c>
      <c r="G104" s="7" t="s">
        <v>51</v>
      </c>
      <c r="H104" s="7" t="s">
        <v>37</v>
      </c>
      <c r="I104" s="7">
        <v>13.1</v>
      </c>
      <c r="J104" s="7">
        <v>8.9</v>
      </c>
      <c r="K104" s="7" t="s">
        <v>52</v>
      </c>
      <c r="L104" s="7" t="s">
        <v>38</v>
      </c>
      <c r="M104" s="7" t="s">
        <v>38</v>
      </c>
      <c r="N104" s="7" t="s">
        <v>218</v>
      </c>
      <c r="O104" s="7" t="s">
        <v>39</v>
      </c>
      <c r="P104" s="8" t="s">
        <v>38</v>
      </c>
      <c r="Q104" s="6"/>
    </row>
    <row r="105" spans="1:17" ht="34.5" customHeight="1" x14ac:dyDescent="0.2">
      <c r="A105" s="5" t="s">
        <v>198</v>
      </c>
      <c r="B105" s="5" t="s">
        <v>33</v>
      </c>
      <c r="C105" s="5">
        <v>10</v>
      </c>
      <c r="D105" s="5" t="s">
        <v>48</v>
      </c>
      <c r="E105" s="5" t="s">
        <v>219</v>
      </c>
      <c r="F105" s="5" t="s">
        <v>220</v>
      </c>
      <c r="G105" s="5" t="s">
        <v>51</v>
      </c>
      <c r="H105" s="5" t="s">
        <v>37</v>
      </c>
      <c r="I105" s="5">
        <v>14.6</v>
      </c>
      <c r="J105" s="5">
        <v>13.9</v>
      </c>
      <c r="K105" s="5" t="s">
        <v>38</v>
      </c>
      <c r="L105" s="5" t="s">
        <v>38</v>
      </c>
      <c r="M105" s="5" t="s">
        <v>38</v>
      </c>
      <c r="N105" s="5"/>
      <c r="O105" s="5" t="s">
        <v>39</v>
      </c>
      <c r="P105" s="6"/>
      <c r="Q105" s="6"/>
    </row>
    <row r="106" spans="1:17" ht="45.75" customHeight="1" x14ac:dyDescent="0.2">
      <c r="A106" s="5" t="s">
        <v>198</v>
      </c>
      <c r="B106" s="5" t="s">
        <v>33</v>
      </c>
      <c r="C106" s="5">
        <v>11</v>
      </c>
      <c r="D106" s="5" t="s">
        <v>48</v>
      </c>
      <c r="E106" s="5" t="s">
        <v>221</v>
      </c>
      <c r="F106" s="5" t="s">
        <v>222</v>
      </c>
      <c r="G106" s="5" t="s">
        <v>51</v>
      </c>
      <c r="H106" s="5" t="s">
        <v>37</v>
      </c>
      <c r="I106" s="5">
        <v>22.3</v>
      </c>
      <c r="J106" s="5">
        <v>12.2</v>
      </c>
      <c r="K106" s="5" t="s">
        <v>38</v>
      </c>
      <c r="L106" s="5" t="s">
        <v>38</v>
      </c>
      <c r="M106" s="5" t="s">
        <v>38</v>
      </c>
      <c r="N106" s="5"/>
      <c r="O106" s="5" t="s">
        <v>39</v>
      </c>
      <c r="P106" s="6"/>
      <c r="Q106" s="6"/>
    </row>
    <row r="107" spans="1:17" ht="15" customHeight="1" x14ac:dyDescent="0.2">
      <c r="A107" s="5" t="s">
        <v>198</v>
      </c>
      <c r="B107" s="5" t="s">
        <v>56</v>
      </c>
      <c r="C107" s="5">
        <v>1</v>
      </c>
      <c r="D107" s="5" t="s">
        <v>34</v>
      </c>
      <c r="E107" s="5" t="s">
        <v>199</v>
      </c>
      <c r="F107" s="5" t="s">
        <v>200</v>
      </c>
      <c r="G107" s="5" t="s">
        <v>37</v>
      </c>
      <c r="H107" s="5" t="s">
        <v>37</v>
      </c>
      <c r="I107" s="5">
        <v>5.7</v>
      </c>
      <c r="J107" s="5">
        <v>0.8</v>
      </c>
      <c r="K107" s="5" t="s">
        <v>38</v>
      </c>
      <c r="L107" s="5" t="s">
        <v>38</v>
      </c>
      <c r="M107" s="5" t="s">
        <v>38</v>
      </c>
      <c r="N107" s="5"/>
      <c r="O107" s="5" t="s">
        <v>39</v>
      </c>
      <c r="P107" s="6"/>
      <c r="Q107" s="6"/>
    </row>
    <row r="108" spans="1:17" ht="34.5" customHeight="1" x14ac:dyDescent="0.2">
      <c r="A108" s="5" t="s">
        <v>198</v>
      </c>
      <c r="B108" s="5" t="s">
        <v>56</v>
      </c>
      <c r="C108" s="5">
        <v>2</v>
      </c>
      <c r="D108" s="5" t="s">
        <v>34</v>
      </c>
      <c r="E108" s="5" t="s">
        <v>201</v>
      </c>
      <c r="F108" s="5" t="s">
        <v>223</v>
      </c>
      <c r="G108" s="5" t="s">
        <v>37</v>
      </c>
      <c r="H108" s="5" t="s">
        <v>37</v>
      </c>
      <c r="I108" s="5">
        <v>4.8</v>
      </c>
      <c r="J108" s="5">
        <v>4.9000000000000004</v>
      </c>
      <c r="K108" s="5" t="s">
        <v>38</v>
      </c>
      <c r="L108" s="5" t="s">
        <v>38</v>
      </c>
      <c r="M108" s="5" t="s">
        <v>38</v>
      </c>
      <c r="N108" s="5"/>
      <c r="O108" s="5" t="s">
        <v>39</v>
      </c>
      <c r="P108" s="6"/>
      <c r="Q108" s="6"/>
    </row>
    <row r="109" spans="1:17" ht="34.5" customHeight="1" x14ac:dyDescent="0.2">
      <c r="A109" s="5" t="s">
        <v>198</v>
      </c>
      <c r="B109" s="5" t="s">
        <v>56</v>
      </c>
      <c r="C109" s="5">
        <v>3</v>
      </c>
      <c r="D109" s="5" t="s">
        <v>34</v>
      </c>
      <c r="E109" s="5" t="s">
        <v>203</v>
      </c>
      <c r="F109" s="5" t="s">
        <v>224</v>
      </c>
      <c r="G109" s="5" t="s">
        <v>37</v>
      </c>
      <c r="H109" s="5" t="s">
        <v>37</v>
      </c>
      <c r="I109" s="5">
        <v>10.3</v>
      </c>
      <c r="J109" s="5">
        <v>11.2</v>
      </c>
      <c r="K109" s="5" t="s">
        <v>38</v>
      </c>
      <c r="L109" s="5" t="s">
        <v>38</v>
      </c>
      <c r="M109" s="5" t="s">
        <v>38</v>
      </c>
      <c r="N109" s="5"/>
      <c r="O109" s="5" t="s">
        <v>39</v>
      </c>
      <c r="P109" s="6"/>
      <c r="Q109" s="6"/>
    </row>
    <row r="110" spans="1:17" ht="15" customHeight="1" x14ac:dyDescent="0.2">
      <c r="A110" s="5" t="s">
        <v>198</v>
      </c>
      <c r="B110" s="5" t="s">
        <v>56</v>
      </c>
      <c r="C110" s="5">
        <v>4</v>
      </c>
      <c r="D110" s="5" t="s">
        <v>34</v>
      </c>
      <c r="E110" s="5" t="s">
        <v>205</v>
      </c>
      <c r="F110" s="5" t="s">
        <v>225</v>
      </c>
      <c r="G110" s="5" t="s">
        <v>37</v>
      </c>
      <c r="H110" s="5" t="s">
        <v>37</v>
      </c>
      <c r="I110" s="5">
        <v>2.5</v>
      </c>
      <c r="J110" s="5">
        <v>4.8</v>
      </c>
      <c r="K110" s="5" t="s">
        <v>38</v>
      </c>
      <c r="L110" s="5" t="s">
        <v>38</v>
      </c>
      <c r="M110" s="5" t="s">
        <v>38</v>
      </c>
      <c r="N110" s="5"/>
      <c r="O110" s="5" t="s">
        <v>39</v>
      </c>
      <c r="P110" s="6"/>
      <c r="Q110" s="6"/>
    </row>
    <row r="111" spans="1:17" ht="34.5" customHeight="1" x14ac:dyDescent="0.2">
      <c r="A111" s="5" t="s">
        <v>198</v>
      </c>
      <c r="B111" s="5" t="s">
        <v>56</v>
      </c>
      <c r="C111" s="5">
        <v>5</v>
      </c>
      <c r="D111" s="5" t="s">
        <v>48</v>
      </c>
      <c r="E111" s="5" t="s">
        <v>210</v>
      </c>
      <c r="F111" s="5" t="s">
        <v>226</v>
      </c>
      <c r="G111" s="5" t="s">
        <v>51</v>
      </c>
      <c r="H111" s="5" t="s">
        <v>37</v>
      </c>
      <c r="I111" s="5">
        <v>13.7</v>
      </c>
      <c r="J111" s="5">
        <v>9.9</v>
      </c>
      <c r="K111" s="5" t="s">
        <v>38</v>
      </c>
      <c r="L111" s="5" t="s">
        <v>38</v>
      </c>
      <c r="M111" s="5" t="s">
        <v>38</v>
      </c>
      <c r="N111" s="5"/>
      <c r="O111" s="5" t="s">
        <v>39</v>
      </c>
      <c r="P111" s="6"/>
      <c r="Q111" s="6"/>
    </row>
    <row r="112" spans="1:17" ht="23.25" customHeight="1" x14ac:dyDescent="0.2">
      <c r="A112" s="5" t="s">
        <v>198</v>
      </c>
      <c r="B112" s="5" t="s">
        <v>56</v>
      </c>
      <c r="C112" s="5">
        <v>6</v>
      </c>
      <c r="D112" s="5" t="s">
        <v>48</v>
      </c>
      <c r="E112" s="5" t="s">
        <v>212</v>
      </c>
      <c r="F112" s="5" t="s">
        <v>227</v>
      </c>
      <c r="G112" s="5" t="s">
        <v>51</v>
      </c>
      <c r="H112" s="5" t="s">
        <v>37</v>
      </c>
      <c r="I112" s="5">
        <v>17.8</v>
      </c>
      <c r="J112" s="5">
        <v>12.4</v>
      </c>
      <c r="K112" s="5" t="s">
        <v>38</v>
      </c>
      <c r="L112" s="5" t="s">
        <v>38</v>
      </c>
      <c r="M112" s="5" t="s">
        <v>38</v>
      </c>
      <c r="N112" s="5"/>
      <c r="O112" s="5" t="s">
        <v>39</v>
      </c>
      <c r="P112" s="6"/>
      <c r="Q112" s="6"/>
    </row>
    <row r="113" spans="1:17" ht="34.5" customHeight="1" x14ac:dyDescent="0.2">
      <c r="A113" s="5" t="s">
        <v>198</v>
      </c>
      <c r="B113" s="5" t="s">
        <v>56</v>
      </c>
      <c r="C113" s="5">
        <v>7</v>
      </c>
      <c r="D113" s="5" t="s">
        <v>48</v>
      </c>
      <c r="E113" s="5" t="s">
        <v>214</v>
      </c>
      <c r="F113" s="5" t="s">
        <v>228</v>
      </c>
      <c r="G113" s="5" t="s">
        <v>51</v>
      </c>
      <c r="H113" s="5" t="s">
        <v>37</v>
      </c>
      <c r="I113" s="5">
        <v>17.3</v>
      </c>
      <c r="J113" s="5">
        <v>10.9</v>
      </c>
      <c r="K113" s="5" t="s">
        <v>38</v>
      </c>
      <c r="L113" s="5" t="s">
        <v>38</v>
      </c>
      <c r="M113" s="5" t="s">
        <v>38</v>
      </c>
      <c r="N113" s="5"/>
      <c r="O113" s="5" t="s">
        <v>39</v>
      </c>
      <c r="P113" s="6"/>
      <c r="Q113" s="6"/>
    </row>
    <row r="114" spans="1:17" ht="34.5" customHeight="1" x14ac:dyDescent="0.2">
      <c r="A114" s="7" t="s">
        <v>198</v>
      </c>
      <c r="B114" s="7" t="s">
        <v>56</v>
      </c>
      <c r="C114" s="7">
        <v>8</v>
      </c>
      <c r="D114" s="7" t="s">
        <v>48</v>
      </c>
      <c r="E114" s="7" t="s">
        <v>219</v>
      </c>
      <c r="F114" s="7" t="s">
        <v>229</v>
      </c>
      <c r="G114" s="7" t="s">
        <v>51</v>
      </c>
      <c r="H114" s="7" t="s">
        <v>37</v>
      </c>
      <c r="I114" s="7">
        <v>14.6</v>
      </c>
      <c r="J114" s="7">
        <v>12.3</v>
      </c>
      <c r="K114" s="7" t="s">
        <v>38</v>
      </c>
      <c r="L114" s="7" t="s">
        <v>52</v>
      </c>
      <c r="M114" s="7" t="s">
        <v>38</v>
      </c>
      <c r="N114" s="7" t="s">
        <v>230</v>
      </c>
      <c r="O114" s="7" t="s">
        <v>39</v>
      </c>
      <c r="P114" s="8" t="s">
        <v>38</v>
      </c>
      <c r="Q114" s="6"/>
    </row>
    <row r="115" spans="1:17" ht="15" customHeight="1" x14ac:dyDescent="0.2">
      <c r="A115" s="5" t="s">
        <v>231</v>
      </c>
      <c r="B115" s="5" t="s">
        <v>33</v>
      </c>
      <c r="C115" s="5">
        <v>1</v>
      </c>
      <c r="D115" s="5" t="s">
        <v>34</v>
      </c>
      <c r="E115" s="5" t="s">
        <v>232</v>
      </c>
      <c r="F115" s="5" t="s">
        <v>233</v>
      </c>
      <c r="G115" s="5" t="s">
        <v>37</v>
      </c>
      <c r="H115" s="5" t="s">
        <v>37</v>
      </c>
      <c r="I115" s="5">
        <v>2.6</v>
      </c>
      <c r="J115" s="5">
        <v>0.8</v>
      </c>
      <c r="K115" s="5" t="s">
        <v>38</v>
      </c>
      <c r="L115" s="5" t="s">
        <v>38</v>
      </c>
      <c r="M115" s="5" t="s">
        <v>38</v>
      </c>
      <c r="N115" s="5"/>
      <c r="O115" s="5" t="s">
        <v>39</v>
      </c>
      <c r="P115" s="6"/>
      <c r="Q115" s="6"/>
    </row>
    <row r="116" spans="1:17" ht="23.25" customHeight="1" x14ac:dyDescent="0.2">
      <c r="A116" s="5" t="s">
        <v>231</v>
      </c>
      <c r="B116" s="5" t="s">
        <v>33</v>
      </c>
      <c r="C116" s="5">
        <v>2</v>
      </c>
      <c r="D116" s="5" t="s">
        <v>34</v>
      </c>
      <c r="E116" s="5" t="s">
        <v>234</v>
      </c>
      <c r="F116" s="5" t="s">
        <v>235</v>
      </c>
      <c r="G116" s="5" t="s">
        <v>37</v>
      </c>
      <c r="H116" s="5" t="s">
        <v>37</v>
      </c>
      <c r="I116" s="5">
        <v>12.4</v>
      </c>
      <c r="J116" s="5">
        <v>9.9</v>
      </c>
      <c r="K116" s="5" t="s">
        <v>38</v>
      </c>
      <c r="L116" s="5" t="s">
        <v>38</v>
      </c>
      <c r="M116" s="5" t="s">
        <v>38</v>
      </c>
      <c r="N116" s="5"/>
      <c r="O116" s="5" t="s">
        <v>39</v>
      </c>
      <c r="P116" s="6"/>
      <c r="Q116" s="6"/>
    </row>
    <row r="117" spans="1:17" ht="23.25" customHeight="1" x14ac:dyDescent="0.2">
      <c r="A117" s="5" t="s">
        <v>231</v>
      </c>
      <c r="B117" s="5" t="s">
        <v>33</v>
      </c>
      <c r="C117" s="5">
        <v>3</v>
      </c>
      <c r="D117" s="5" t="s">
        <v>34</v>
      </c>
      <c r="E117" s="5" t="s">
        <v>236</v>
      </c>
      <c r="F117" s="5" t="s">
        <v>237</v>
      </c>
      <c r="G117" s="5" t="s">
        <v>37</v>
      </c>
      <c r="H117" s="5" t="s">
        <v>37</v>
      </c>
      <c r="I117" s="5">
        <v>1.3</v>
      </c>
      <c r="J117" s="5">
        <v>5.4</v>
      </c>
      <c r="K117" s="5" t="s">
        <v>38</v>
      </c>
      <c r="L117" s="5" t="s">
        <v>38</v>
      </c>
      <c r="M117" s="5" t="s">
        <v>38</v>
      </c>
      <c r="N117" s="5"/>
      <c r="O117" s="5" t="s">
        <v>39</v>
      </c>
      <c r="P117" s="6"/>
      <c r="Q117" s="6"/>
    </row>
    <row r="118" spans="1:17" ht="23.25" customHeight="1" x14ac:dyDescent="0.2">
      <c r="A118" s="5" t="s">
        <v>231</v>
      </c>
      <c r="B118" s="5" t="s">
        <v>33</v>
      </c>
      <c r="C118" s="5">
        <v>4</v>
      </c>
      <c r="D118" s="5" t="s">
        <v>34</v>
      </c>
      <c r="E118" s="5" t="s">
        <v>238</v>
      </c>
      <c r="F118" s="5" t="s">
        <v>239</v>
      </c>
      <c r="G118" s="5" t="s">
        <v>37</v>
      </c>
      <c r="H118" s="5" t="s">
        <v>37</v>
      </c>
      <c r="I118" s="5">
        <v>-3</v>
      </c>
      <c r="J118" s="5">
        <v>7.7</v>
      </c>
      <c r="K118" s="5" t="s">
        <v>38</v>
      </c>
      <c r="L118" s="5" t="s">
        <v>38</v>
      </c>
      <c r="M118" s="5" t="s">
        <v>38</v>
      </c>
      <c r="N118" s="5"/>
      <c r="O118" s="5" t="s">
        <v>39</v>
      </c>
      <c r="P118" s="6"/>
      <c r="Q118" s="6"/>
    </row>
    <row r="119" spans="1:17" ht="15" customHeight="1" x14ac:dyDescent="0.2">
      <c r="A119" s="5" t="s">
        <v>231</v>
      </c>
      <c r="B119" s="5" t="s">
        <v>33</v>
      </c>
      <c r="C119" s="5">
        <v>5</v>
      </c>
      <c r="D119" s="5" t="s">
        <v>48</v>
      </c>
      <c r="E119" s="5" t="s">
        <v>240</v>
      </c>
      <c r="F119" s="5" t="s">
        <v>241</v>
      </c>
      <c r="G119" s="5" t="s">
        <v>51</v>
      </c>
      <c r="H119" s="5" t="s">
        <v>37</v>
      </c>
      <c r="I119" s="5">
        <v>7.6</v>
      </c>
      <c r="J119" s="5">
        <v>6</v>
      </c>
      <c r="K119" s="5" t="s">
        <v>38</v>
      </c>
      <c r="L119" s="5" t="s">
        <v>38</v>
      </c>
      <c r="M119" s="5" t="s">
        <v>38</v>
      </c>
      <c r="N119" s="5"/>
      <c r="O119" s="5" t="s">
        <v>39</v>
      </c>
      <c r="P119" s="6"/>
      <c r="Q119" s="6"/>
    </row>
    <row r="120" spans="1:17" ht="23.25" customHeight="1" x14ac:dyDescent="0.2">
      <c r="A120" s="5" t="s">
        <v>231</v>
      </c>
      <c r="B120" s="5" t="s">
        <v>33</v>
      </c>
      <c r="C120" s="5">
        <v>6</v>
      </c>
      <c r="D120" s="5" t="s">
        <v>48</v>
      </c>
      <c r="E120" s="5" t="s">
        <v>242</v>
      </c>
      <c r="F120" s="5" t="s">
        <v>243</v>
      </c>
      <c r="G120" s="5" t="s">
        <v>51</v>
      </c>
      <c r="H120" s="5" t="s">
        <v>51</v>
      </c>
      <c r="I120" s="5">
        <v>8.4</v>
      </c>
      <c r="J120" s="5">
        <v>11.7</v>
      </c>
      <c r="K120" s="5" t="s">
        <v>38</v>
      </c>
      <c r="L120" s="5" t="s">
        <v>38</v>
      </c>
      <c r="M120" s="5" t="s">
        <v>38</v>
      </c>
      <c r="N120" s="5"/>
      <c r="O120" s="5" t="s">
        <v>39</v>
      </c>
      <c r="P120" s="6"/>
      <c r="Q120" s="6"/>
    </row>
    <row r="121" spans="1:17" ht="15" customHeight="1" x14ac:dyDescent="0.2">
      <c r="A121" s="5" t="s">
        <v>231</v>
      </c>
      <c r="B121" s="5" t="s">
        <v>33</v>
      </c>
      <c r="C121" s="5">
        <v>7</v>
      </c>
      <c r="D121" s="5" t="s">
        <v>48</v>
      </c>
      <c r="E121" s="5" t="s">
        <v>244</v>
      </c>
      <c r="F121" s="5" t="s">
        <v>245</v>
      </c>
      <c r="G121" s="5" t="s">
        <v>51</v>
      </c>
      <c r="H121" s="5" t="s">
        <v>51</v>
      </c>
      <c r="I121" s="5">
        <v>7.6</v>
      </c>
      <c r="J121" s="5">
        <v>8.4</v>
      </c>
      <c r="K121" s="5" t="s">
        <v>38</v>
      </c>
      <c r="L121" s="5" t="s">
        <v>38</v>
      </c>
      <c r="M121" s="5" t="s">
        <v>38</v>
      </c>
      <c r="N121" s="5"/>
      <c r="O121" s="5" t="s">
        <v>39</v>
      </c>
      <c r="P121" s="6"/>
      <c r="Q121" s="6"/>
    </row>
    <row r="122" spans="1:17" ht="15" customHeight="1" x14ac:dyDescent="0.2">
      <c r="A122" s="5" t="s">
        <v>231</v>
      </c>
      <c r="B122" s="5" t="s">
        <v>33</v>
      </c>
      <c r="C122" s="5">
        <v>8</v>
      </c>
      <c r="D122" s="5" t="s">
        <v>48</v>
      </c>
      <c r="E122" s="5" t="s">
        <v>246</v>
      </c>
      <c r="F122" s="5" t="s">
        <v>247</v>
      </c>
      <c r="G122" s="5" t="s">
        <v>51</v>
      </c>
      <c r="H122" s="5" t="s">
        <v>51</v>
      </c>
      <c r="I122" s="5">
        <v>18.2</v>
      </c>
      <c r="J122" s="5">
        <v>5.2</v>
      </c>
      <c r="K122" s="5" t="s">
        <v>38</v>
      </c>
      <c r="L122" s="5" t="s">
        <v>38</v>
      </c>
      <c r="M122" s="5" t="s">
        <v>38</v>
      </c>
      <c r="N122" s="5"/>
      <c r="O122" s="5" t="s">
        <v>39</v>
      </c>
      <c r="P122" s="6"/>
      <c r="Q122" s="6"/>
    </row>
    <row r="123" spans="1:17" ht="34.5" customHeight="1" x14ac:dyDescent="0.2">
      <c r="A123" s="5" t="s">
        <v>231</v>
      </c>
      <c r="B123" s="5" t="s">
        <v>33</v>
      </c>
      <c r="C123" s="5">
        <v>9</v>
      </c>
      <c r="D123" s="5" t="s">
        <v>48</v>
      </c>
      <c r="E123" s="5" t="s">
        <v>248</v>
      </c>
      <c r="F123" s="5" t="s">
        <v>249</v>
      </c>
      <c r="G123" s="5" t="s">
        <v>51</v>
      </c>
      <c r="H123" s="5" t="s">
        <v>37</v>
      </c>
      <c r="I123" s="5">
        <v>11.9</v>
      </c>
      <c r="J123" s="5">
        <v>3.8</v>
      </c>
      <c r="K123" s="5" t="s">
        <v>38</v>
      </c>
      <c r="L123" s="5" t="s">
        <v>38</v>
      </c>
      <c r="M123" s="5" t="s">
        <v>38</v>
      </c>
      <c r="N123" s="5" t="s">
        <v>250</v>
      </c>
      <c r="O123" s="5" t="s">
        <v>39</v>
      </c>
      <c r="P123" s="6"/>
      <c r="Q123" s="6"/>
    </row>
    <row r="124" spans="1:17" ht="34.5" customHeight="1" x14ac:dyDescent="0.2">
      <c r="A124" s="7" t="s">
        <v>231</v>
      </c>
      <c r="B124" s="7" t="s">
        <v>33</v>
      </c>
      <c r="C124" s="7">
        <v>10</v>
      </c>
      <c r="D124" s="7" t="s">
        <v>48</v>
      </c>
      <c r="E124" s="7" t="s">
        <v>251</v>
      </c>
      <c r="F124" s="7" t="s">
        <v>252</v>
      </c>
      <c r="G124" s="7" t="s">
        <v>51</v>
      </c>
      <c r="H124" s="7" t="s">
        <v>37</v>
      </c>
      <c r="I124" s="7">
        <v>12.4</v>
      </c>
      <c r="J124" s="7">
        <v>8.8000000000000007</v>
      </c>
      <c r="K124" s="7" t="s">
        <v>52</v>
      </c>
      <c r="L124" s="7" t="s">
        <v>38</v>
      </c>
      <c r="M124" s="7" t="s">
        <v>38</v>
      </c>
      <c r="N124" s="7" t="s">
        <v>253</v>
      </c>
      <c r="O124" s="7" t="s">
        <v>39</v>
      </c>
      <c r="P124" s="8" t="s">
        <v>38</v>
      </c>
      <c r="Q124" s="6"/>
    </row>
    <row r="125" spans="1:17" ht="45.75" customHeight="1" x14ac:dyDescent="0.2">
      <c r="A125" s="5" t="s">
        <v>231</v>
      </c>
      <c r="B125" s="5" t="s">
        <v>33</v>
      </c>
      <c r="C125" s="5">
        <v>11</v>
      </c>
      <c r="D125" s="5" t="s">
        <v>48</v>
      </c>
      <c r="E125" s="5" t="s">
        <v>254</v>
      </c>
      <c r="F125" s="5" t="s">
        <v>255</v>
      </c>
      <c r="G125" s="5" t="s">
        <v>51</v>
      </c>
      <c r="H125" s="5" t="s">
        <v>51</v>
      </c>
      <c r="I125" s="5">
        <v>19.7</v>
      </c>
      <c r="J125" s="5">
        <v>13.4</v>
      </c>
      <c r="K125" s="5" t="s">
        <v>38</v>
      </c>
      <c r="L125" s="5" t="s">
        <v>38</v>
      </c>
      <c r="M125" s="5" t="s">
        <v>38</v>
      </c>
      <c r="N125" s="5"/>
      <c r="O125" s="5" t="s">
        <v>39</v>
      </c>
      <c r="P125" s="6"/>
      <c r="Q125" s="6"/>
    </row>
    <row r="126" spans="1:17" ht="15" customHeight="1" x14ac:dyDescent="0.2">
      <c r="A126" s="5" t="s">
        <v>231</v>
      </c>
      <c r="B126" s="5" t="s">
        <v>56</v>
      </c>
      <c r="C126" s="5">
        <v>1</v>
      </c>
      <c r="D126" s="5" t="s">
        <v>34</v>
      </c>
      <c r="E126" s="5" t="s">
        <v>232</v>
      </c>
      <c r="F126" s="5" t="s">
        <v>233</v>
      </c>
      <c r="G126" s="5" t="s">
        <v>37</v>
      </c>
      <c r="H126" s="5" t="s">
        <v>37</v>
      </c>
      <c r="I126" s="5">
        <v>2.6</v>
      </c>
      <c r="J126" s="5">
        <v>0.8</v>
      </c>
      <c r="K126" s="5" t="s">
        <v>38</v>
      </c>
      <c r="L126" s="5" t="s">
        <v>38</v>
      </c>
      <c r="M126" s="5" t="s">
        <v>38</v>
      </c>
      <c r="N126" s="5"/>
      <c r="O126" s="5" t="s">
        <v>39</v>
      </c>
      <c r="P126" s="6"/>
      <c r="Q126" s="6"/>
    </row>
    <row r="127" spans="1:17" ht="23.25" customHeight="1" x14ac:dyDescent="0.2">
      <c r="A127" s="5" t="s">
        <v>231</v>
      </c>
      <c r="B127" s="5" t="s">
        <v>56</v>
      </c>
      <c r="C127" s="5">
        <v>2</v>
      </c>
      <c r="D127" s="5" t="s">
        <v>34</v>
      </c>
      <c r="E127" s="5" t="s">
        <v>234</v>
      </c>
      <c r="F127" s="5" t="s">
        <v>256</v>
      </c>
      <c r="G127" s="5" t="s">
        <v>37</v>
      </c>
      <c r="H127" s="5" t="s">
        <v>37</v>
      </c>
      <c r="I127" s="5">
        <v>12.4</v>
      </c>
      <c r="J127" s="5">
        <v>8.6999999999999993</v>
      </c>
      <c r="K127" s="5" t="s">
        <v>38</v>
      </c>
      <c r="L127" s="5" t="s">
        <v>38</v>
      </c>
      <c r="M127" s="5" t="s">
        <v>38</v>
      </c>
      <c r="N127" s="5"/>
      <c r="O127" s="5" t="s">
        <v>39</v>
      </c>
      <c r="P127" s="6"/>
      <c r="Q127" s="6"/>
    </row>
    <row r="128" spans="1:17" ht="15" customHeight="1" x14ac:dyDescent="0.2">
      <c r="A128" s="5" t="s">
        <v>231</v>
      </c>
      <c r="B128" s="5" t="s">
        <v>56</v>
      </c>
      <c r="C128" s="5">
        <v>3</v>
      </c>
      <c r="D128" s="5" t="s">
        <v>34</v>
      </c>
      <c r="E128" s="5" t="s">
        <v>236</v>
      </c>
      <c r="F128" s="5" t="s">
        <v>257</v>
      </c>
      <c r="G128" s="5" t="s">
        <v>37</v>
      </c>
      <c r="H128" s="5" t="s">
        <v>37</v>
      </c>
      <c r="I128" s="5">
        <v>1.3</v>
      </c>
      <c r="J128" s="5">
        <v>3.7</v>
      </c>
      <c r="K128" s="5" t="s">
        <v>38</v>
      </c>
      <c r="L128" s="5" t="s">
        <v>38</v>
      </c>
      <c r="M128" s="5" t="s">
        <v>38</v>
      </c>
      <c r="N128" s="5"/>
      <c r="O128" s="5" t="s">
        <v>39</v>
      </c>
      <c r="P128" s="6"/>
      <c r="Q128" s="6"/>
    </row>
    <row r="129" spans="1:17" ht="23.25" customHeight="1" x14ac:dyDescent="0.2">
      <c r="A129" s="5" t="s">
        <v>231</v>
      </c>
      <c r="B129" s="5" t="s">
        <v>56</v>
      </c>
      <c r="C129" s="5">
        <v>4</v>
      </c>
      <c r="D129" s="5" t="s">
        <v>34</v>
      </c>
      <c r="E129" s="5" t="s">
        <v>238</v>
      </c>
      <c r="F129" s="5" t="s">
        <v>258</v>
      </c>
      <c r="G129" s="5" t="s">
        <v>37</v>
      </c>
      <c r="H129" s="5" t="s">
        <v>37</v>
      </c>
      <c r="I129" s="5">
        <v>-3</v>
      </c>
      <c r="J129" s="5">
        <v>8.6</v>
      </c>
      <c r="K129" s="5" t="s">
        <v>38</v>
      </c>
      <c r="L129" s="5" t="s">
        <v>38</v>
      </c>
      <c r="M129" s="5" t="s">
        <v>38</v>
      </c>
      <c r="N129" s="5"/>
      <c r="O129" s="5" t="s">
        <v>39</v>
      </c>
      <c r="P129" s="6"/>
      <c r="Q129" s="6"/>
    </row>
    <row r="130" spans="1:17" ht="15" customHeight="1" x14ac:dyDescent="0.2">
      <c r="A130" s="5" t="s">
        <v>231</v>
      </c>
      <c r="B130" s="5" t="s">
        <v>56</v>
      </c>
      <c r="C130" s="5">
        <v>5</v>
      </c>
      <c r="D130" s="5" t="s">
        <v>48</v>
      </c>
      <c r="E130" s="5" t="s">
        <v>244</v>
      </c>
      <c r="F130" s="5" t="s">
        <v>245</v>
      </c>
      <c r="G130" s="5" t="s">
        <v>51</v>
      </c>
      <c r="H130" s="5" t="s">
        <v>51</v>
      </c>
      <c r="I130" s="5">
        <v>7.6</v>
      </c>
      <c r="J130" s="5">
        <v>8.4</v>
      </c>
      <c r="K130" s="5" t="s">
        <v>38</v>
      </c>
      <c r="L130" s="5" t="s">
        <v>38</v>
      </c>
      <c r="M130" s="5" t="s">
        <v>38</v>
      </c>
      <c r="N130" s="5"/>
      <c r="O130" s="5" t="s">
        <v>39</v>
      </c>
      <c r="P130" s="6"/>
      <c r="Q130" s="6"/>
    </row>
    <row r="131" spans="1:17" ht="15" customHeight="1" x14ac:dyDescent="0.2">
      <c r="A131" s="5" t="s">
        <v>231</v>
      </c>
      <c r="B131" s="5" t="s">
        <v>56</v>
      </c>
      <c r="C131" s="5">
        <v>6</v>
      </c>
      <c r="D131" s="5" t="s">
        <v>48</v>
      </c>
      <c r="E131" s="5" t="s">
        <v>240</v>
      </c>
      <c r="F131" s="5" t="s">
        <v>259</v>
      </c>
      <c r="G131" s="5" t="s">
        <v>51</v>
      </c>
      <c r="H131" s="5" t="s">
        <v>37</v>
      </c>
      <c r="I131" s="5">
        <v>7.6</v>
      </c>
      <c r="J131" s="5">
        <v>8</v>
      </c>
      <c r="K131" s="5" t="s">
        <v>38</v>
      </c>
      <c r="L131" s="5" t="s">
        <v>38</v>
      </c>
      <c r="M131" s="5" t="s">
        <v>38</v>
      </c>
      <c r="N131" s="5"/>
      <c r="O131" s="5" t="s">
        <v>39</v>
      </c>
      <c r="P131" s="6"/>
      <c r="Q131" s="6"/>
    </row>
    <row r="132" spans="1:17" ht="23.25" customHeight="1" x14ac:dyDescent="0.2">
      <c r="A132" s="5" t="s">
        <v>231</v>
      </c>
      <c r="B132" s="5" t="s">
        <v>56</v>
      </c>
      <c r="C132" s="5">
        <v>7</v>
      </c>
      <c r="D132" s="5" t="s">
        <v>48</v>
      </c>
      <c r="E132" s="5" t="s">
        <v>242</v>
      </c>
      <c r="F132" s="5" t="s">
        <v>260</v>
      </c>
      <c r="G132" s="5" t="s">
        <v>51</v>
      </c>
      <c r="H132" s="5" t="s">
        <v>51</v>
      </c>
      <c r="I132" s="5">
        <v>8.4</v>
      </c>
      <c r="J132" s="5">
        <v>8.4</v>
      </c>
      <c r="K132" s="5" t="s">
        <v>38</v>
      </c>
      <c r="L132" s="5" t="s">
        <v>38</v>
      </c>
      <c r="M132" s="5" t="s">
        <v>38</v>
      </c>
      <c r="N132" s="5"/>
      <c r="O132" s="5" t="s">
        <v>39</v>
      </c>
      <c r="P132" s="6"/>
      <c r="Q132" s="6"/>
    </row>
    <row r="133" spans="1:17" ht="15" customHeight="1" x14ac:dyDescent="0.2">
      <c r="A133" s="5" t="s">
        <v>231</v>
      </c>
      <c r="B133" s="5" t="s">
        <v>56</v>
      </c>
      <c r="C133" s="5">
        <v>8</v>
      </c>
      <c r="D133" s="5" t="s">
        <v>48</v>
      </c>
      <c r="E133" s="5" t="s">
        <v>246</v>
      </c>
      <c r="F133" s="5" t="s">
        <v>247</v>
      </c>
      <c r="G133" s="5" t="s">
        <v>51</v>
      </c>
      <c r="H133" s="5" t="s">
        <v>51</v>
      </c>
      <c r="I133" s="5">
        <v>18.2</v>
      </c>
      <c r="J133" s="5">
        <v>5.2</v>
      </c>
      <c r="K133" s="5" t="s">
        <v>38</v>
      </c>
      <c r="L133" s="5" t="s">
        <v>38</v>
      </c>
      <c r="M133" s="5" t="s">
        <v>38</v>
      </c>
      <c r="N133" s="5"/>
      <c r="O133" s="5" t="s">
        <v>39</v>
      </c>
      <c r="P133" s="6"/>
      <c r="Q133" s="6"/>
    </row>
    <row r="134" spans="1:17" ht="23.25" customHeight="1" x14ac:dyDescent="0.2">
      <c r="A134" s="5" t="s">
        <v>231</v>
      </c>
      <c r="B134" s="5" t="s">
        <v>56</v>
      </c>
      <c r="C134" s="5">
        <v>9</v>
      </c>
      <c r="D134" s="5" t="s">
        <v>48</v>
      </c>
      <c r="E134" s="5" t="s">
        <v>248</v>
      </c>
      <c r="F134" s="5" t="s">
        <v>261</v>
      </c>
      <c r="G134" s="5" t="s">
        <v>51</v>
      </c>
      <c r="H134" s="5" t="s">
        <v>37</v>
      </c>
      <c r="I134" s="5">
        <v>11.9</v>
      </c>
      <c r="J134" s="5">
        <v>3.1</v>
      </c>
      <c r="K134" s="5" t="s">
        <v>38</v>
      </c>
      <c r="L134" s="5" t="s">
        <v>38</v>
      </c>
      <c r="M134" s="5" t="s">
        <v>38</v>
      </c>
      <c r="N134" s="5" t="s">
        <v>262</v>
      </c>
      <c r="O134" s="5" t="s">
        <v>39</v>
      </c>
      <c r="P134" s="6"/>
      <c r="Q134" s="6"/>
    </row>
    <row r="135" spans="1:17" ht="23.25" customHeight="1" x14ac:dyDescent="0.2">
      <c r="A135" s="5" t="s">
        <v>231</v>
      </c>
      <c r="B135" s="5" t="s">
        <v>56</v>
      </c>
      <c r="C135" s="5">
        <v>10</v>
      </c>
      <c r="D135" s="5" t="s">
        <v>48</v>
      </c>
      <c r="E135" s="5" t="s">
        <v>251</v>
      </c>
      <c r="F135" s="5" t="s">
        <v>263</v>
      </c>
      <c r="G135" s="5" t="s">
        <v>51</v>
      </c>
      <c r="H135" s="5" t="s">
        <v>51</v>
      </c>
      <c r="I135" s="5">
        <v>12.4</v>
      </c>
      <c r="J135" s="5">
        <v>7.3</v>
      </c>
      <c r="K135" s="5" t="s">
        <v>38</v>
      </c>
      <c r="L135" s="5" t="s">
        <v>38</v>
      </c>
      <c r="M135" s="5" t="s">
        <v>38</v>
      </c>
      <c r="N135" s="5"/>
      <c r="O135" s="5" t="s">
        <v>39</v>
      </c>
      <c r="P135" s="6"/>
      <c r="Q135" s="6"/>
    </row>
    <row r="136" spans="1:17" ht="15" customHeight="1" x14ac:dyDescent="0.2">
      <c r="A136" s="5" t="s">
        <v>264</v>
      </c>
      <c r="B136" s="5" t="s">
        <v>33</v>
      </c>
      <c r="C136" s="5">
        <v>1</v>
      </c>
      <c r="D136" s="5" t="s">
        <v>34</v>
      </c>
      <c r="E136" s="5" t="s">
        <v>265</v>
      </c>
      <c r="F136" s="5" t="s">
        <v>200</v>
      </c>
      <c r="G136" s="5" t="s">
        <v>37</v>
      </c>
      <c r="H136" s="5" t="s">
        <v>37</v>
      </c>
      <c r="I136" s="5">
        <v>-2.2000000000000002</v>
      </c>
      <c r="J136" s="5">
        <v>0.8</v>
      </c>
      <c r="K136" s="5" t="s">
        <v>38</v>
      </c>
      <c r="L136" s="5" t="s">
        <v>38</v>
      </c>
      <c r="M136" s="5" t="s">
        <v>38</v>
      </c>
      <c r="N136" s="5"/>
      <c r="O136" s="5" t="s">
        <v>39</v>
      </c>
      <c r="P136" s="6"/>
      <c r="Q136" s="6"/>
    </row>
    <row r="137" spans="1:17" ht="34.5" customHeight="1" x14ac:dyDescent="0.2">
      <c r="A137" s="7" t="s">
        <v>264</v>
      </c>
      <c r="B137" s="7" t="s">
        <v>33</v>
      </c>
      <c r="C137" s="7">
        <v>2</v>
      </c>
      <c r="D137" s="7" t="s">
        <v>34</v>
      </c>
      <c r="E137" s="7" t="s">
        <v>266</v>
      </c>
      <c r="F137" s="7" t="s">
        <v>267</v>
      </c>
      <c r="G137" s="7" t="s">
        <v>37</v>
      </c>
      <c r="H137" s="7" t="s">
        <v>37</v>
      </c>
      <c r="I137" s="7">
        <v>8.3000000000000007</v>
      </c>
      <c r="J137" s="7">
        <v>5.8</v>
      </c>
      <c r="K137" s="7" t="s">
        <v>52</v>
      </c>
      <c r="L137" s="7" t="s">
        <v>38</v>
      </c>
      <c r="M137" s="7" t="s">
        <v>38</v>
      </c>
      <c r="N137" s="7" t="s">
        <v>268</v>
      </c>
      <c r="O137" s="7" t="s">
        <v>39</v>
      </c>
      <c r="P137" s="8" t="s">
        <v>38</v>
      </c>
      <c r="Q137" s="6"/>
    </row>
    <row r="138" spans="1:17" ht="23.25" customHeight="1" x14ac:dyDescent="0.2">
      <c r="A138" s="5" t="s">
        <v>264</v>
      </c>
      <c r="B138" s="5" t="s">
        <v>33</v>
      </c>
      <c r="C138" s="5">
        <v>3</v>
      </c>
      <c r="D138" s="5" t="s">
        <v>34</v>
      </c>
      <c r="E138" s="5" t="s">
        <v>269</v>
      </c>
      <c r="F138" s="5" t="s">
        <v>270</v>
      </c>
      <c r="G138" s="5" t="s">
        <v>37</v>
      </c>
      <c r="H138" s="5" t="s">
        <v>37</v>
      </c>
      <c r="I138" s="5">
        <v>9.6999999999999993</v>
      </c>
      <c r="J138" s="5">
        <v>6.7</v>
      </c>
      <c r="K138" s="5" t="s">
        <v>38</v>
      </c>
      <c r="L138" s="5" t="s">
        <v>38</v>
      </c>
      <c r="M138" s="5" t="s">
        <v>38</v>
      </c>
      <c r="N138" s="5"/>
      <c r="O138" s="5" t="s">
        <v>39</v>
      </c>
      <c r="P138" s="6"/>
      <c r="Q138" s="6"/>
    </row>
    <row r="139" spans="1:17" ht="23.25" customHeight="1" x14ac:dyDescent="0.2">
      <c r="A139" s="5" t="s">
        <v>264</v>
      </c>
      <c r="B139" s="5" t="s">
        <v>33</v>
      </c>
      <c r="C139" s="5">
        <v>4</v>
      </c>
      <c r="D139" s="5" t="s">
        <v>48</v>
      </c>
      <c r="E139" s="5" t="s">
        <v>271</v>
      </c>
      <c r="F139" s="5" t="s">
        <v>272</v>
      </c>
      <c r="G139" s="5" t="s">
        <v>51</v>
      </c>
      <c r="H139" s="5" t="s">
        <v>37</v>
      </c>
      <c r="I139" s="5">
        <v>9.1</v>
      </c>
      <c r="J139" s="5">
        <v>7.6</v>
      </c>
      <c r="K139" s="5" t="s">
        <v>38</v>
      </c>
      <c r="L139" s="5" t="s">
        <v>38</v>
      </c>
      <c r="M139" s="5" t="s">
        <v>38</v>
      </c>
      <c r="N139" s="5"/>
      <c r="O139" s="5" t="s">
        <v>39</v>
      </c>
      <c r="P139" s="6"/>
      <c r="Q139" s="6"/>
    </row>
    <row r="140" spans="1:17" ht="15" customHeight="1" x14ac:dyDescent="0.2">
      <c r="A140" s="5" t="s">
        <v>264</v>
      </c>
      <c r="B140" s="5" t="s">
        <v>33</v>
      </c>
      <c r="C140" s="5">
        <v>5</v>
      </c>
      <c r="D140" s="5" t="s">
        <v>48</v>
      </c>
      <c r="E140" s="5" t="s">
        <v>273</v>
      </c>
      <c r="F140" s="5" t="s">
        <v>274</v>
      </c>
      <c r="G140" s="5" t="s">
        <v>51</v>
      </c>
      <c r="H140" s="5" t="s">
        <v>37</v>
      </c>
      <c r="I140" s="5">
        <v>8.4</v>
      </c>
      <c r="J140" s="5">
        <v>3.7</v>
      </c>
      <c r="K140" s="5" t="s">
        <v>38</v>
      </c>
      <c r="L140" s="5" t="s">
        <v>38</v>
      </c>
      <c r="M140" s="5" t="s">
        <v>38</v>
      </c>
      <c r="N140" s="5"/>
      <c r="O140" s="5" t="s">
        <v>39</v>
      </c>
      <c r="P140" s="6"/>
      <c r="Q140" s="6"/>
    </row>
    <row r="141" spans="1:17" ht="15" customHeight="1" x14ac:dyDescent="0.2">
      <c r="A141" s="5" t="s">
        <v>264</v>
      </c>
      <c r="B141" s="5" t="s">
        <v>33</v>
      </c>
      <c r="C141" s="5">
        <v>6</v>
      </c>
      <c r="D141" s="5" t="s">
        <v>48</v>
      </c>
      <c r="E141" s="5" t="s">
        <v>275</v>
      </c>
      <c r="F141" s="5" t="s">
        <v>276</v>
      </c>
      <c r="G141" s="5" t="s">
        <v>51</v>
      </c>
      <c r="H141" s="5" t="s">
        <v>51</v>
      </c>
      <c r="I141" s="5">
        <v>8.4</v>
      </c>
      <c r="J141" s="5">
        <v>8.1999999999999993</v>
      </c>
      <c r="K141" s="5" t="s">
        <v>38</v>
      </c>
      <c r="L141" s="5" t="s">
        <v>38</v>
      </c>
      <c r="M141" s="5" t="s">
        <v>38</v>
      </c>
      <c r="N141" s="5"/>
      <c r="O141" s="5" t="s">
        <v>39</v>
      </c>
      <c r="P141" s="6"/>
      <c r="Q141" s="6"/>
    </row>
    <row r="142" spans="1:17" ht="15" customHeight="1" x14ac:dyDescent="0.2">
      <c r="A142" s="5" t="s">
        <v>264</v>
      </c>
      <c r="B142" s="5" t="s">
        <v>33</v>
      </c>
      <c r="C142" s="5">
        <v>7</v>
      </c>
      <c r="D142" s="5" t="s">
        <v>48</v>
      </c>
      <c r="E142" s="5" t="s">
        <v>277</v>
      </c>
      <c r="F142" s="5" t="s">
        <v>247</v>
      </c>
      <c r="G142" s="5" t="s">
        <v>51</v>
      </c>
      <c r="H142" s="5" t="s">
        <v>51</v>
      </c>
      <c r="I142" s="5">
        <v>18.399999999999999</v>
      </c>
      <c r="J142" s="5">
        <v>5.2</v>
      </c>
      <c r="K142" s="5" t="s">
        <v>38</v>
      </c>
      <c r="L142" s="5" t="s">
        <v>38</v>
      </c>
      <c r="M142" s="5" t="s">
        <v>38</v>
      </c>
      <c r="N142" s="5"/>
      <c r="O142" s="5" t="s">
        <v>39</v>
      </c>
      <c r="P142" s="6"/>
      <c r="Q142" s="6"/>
    </row>
    <row r="143" spans="1:17" ht="23.25" customHeight="1" x14ac:dyDescent="0.2">
      <c r="A143" s="5" t="s">
        <v>264</v>
      </c>
      <c r="B143" s="5" t="s">
        <v>33</v>
      </c>
      <c r="C143" s="5">
        <v>8</v>
      </c>
      <c r="D143" s="5" t="s">
        <v>48</v>
      </c>
      <c r="E143" s="5" t="s">
        <v>278</v>
      </c>
      <c r="F143" s="5" t="s">
        <v>279</v>
      </c>
      <c r="G143" s="5" t="s">
        <v>51</v>
      </c>
      <c r="H143" s="5" t="s">
        <v>37</v>
      </c>
      <c r="I143" s="5">
        <v>11.1</v>
      </c>
      <c r="J143" s="5">
        <v>9.1</v>
      </c>
      <c r="K143" s="5" t="s">
        <v>38</v>
      </c>
      <c r="L143" s="5" t="s">
        <v>38</v>
      </c>
      <c r="M143" s="5" t="s">
        <v>38</v>
      </c>
      <c r="N143" s="5"/>
      <c r="O143" s="5" t="s">
        <v>39</v>
      </c>
      <c r="P143" s="6"/>
      <c r="Q143" s="6"/>
    </row>
    <row r="144" spans="1:17" ht="15" customHeight="1" x14ac:dyDescent="0.2">
      <c r="A144" s="5" t="s">
        <v>264</v>
      </c>
      <c r="B144" s="5" t="s">
        <v>33</v>
      </c>
      <c r="C144" s="5">
        <v>9</v>
      </c>
      <c r="D144" s="5" t="s">
        <v>48</v>
      </c>
      <c r="E144" s="5" t="s">
        <v>280</v>
      </c>
      <c r="F144" s="5" t="s">
        <v>281</v>
      </c>
      <c r="G144" s="5" t="s">
        <v>51</v>
      </c>
      <c r="H144" s="5" t="s">
        <v>51</v>
      </c>
      <c r="I144" s="5">
        <v>12.5</v>
      </c>
      <c r="J144" s="5">
        <v>5.7</v>
      </c>
      <c r="K144" s="5" t="s">
        <v>38</v>
      </c>
      <c r="L144" s="5" t="s">
        <v>38</v>
      </c>
      <c r="M144" s="5" t="s">
        <v>38</v>
      </c>
      <c r="N144" s="5"/>
      <c r="O144" s="5" t="s">
        <v>39</v>
      </c>
      <c r="P144" s="6"/>
      <c r="Q144" s="6"/>
    </row>
    <row r="145" spans="1:17" ht="57" customHeight="1" x14ac:dyDescent="0.2">
      <c r="A145" s="5" t="s">
        <v>264</v>
      </c>
      <c r="B145" s="5" t="s">
        <v>33</v>
      </c>
      <c r="C145" s="5">
        <v>10</v>
      </c>
      <c r="D145" s="5" t="s">
        <v>48</v>
      </c>
      <c r="E145" s="5" t="s">
        <v>282</v>
      </c>
      <c r="F145" s="5" t="s">
        <v>283</v>
      </c>
      <c r="G145" s="5" t="s">
        <v>51</v>
      </c>
      <c r="H145" s="5" t="s">
        <v>37</v>
      </c>
      <c r="I145" s="5">
        <v>25.2</v>
      </c>
      <c r="J145" s="5">
        <v>10.9</v>
      </c>
      <c r="K145" s="5" t="s">
        <v>38</v>
      </c>
      <c r="L145" s="5" t="s">
        <v>38</v>
      </c>
      <c r="M145" s="5" t="s">
        <v>38</v>
      </c>
      <c r="N145" s="5"/>
      <c r="O145" s="5" t="s">
        <v>39</v>
      </c>
      <c r="P145" s="6"/>
      <c r="Q145" s="6"/>
    </row>
    <row r="146" spans="1:17" ht="15" customHeight="1" x14ac:dyDescent="0.2">
      <c r="A146" s="5" t="s">
        <v>264</v>
      </c>
      <c r="B146" s="5" t="s">
        <v>33</v>
      </c>
      <c r="C146" s="5">
        <v>11</v>
      </c>
      <c r="D146" s="5" t="s">
        <v>48</v>
      </c>
      <c r="E146" s="5" t="s">
        <v>284</v>
      </c>
      <c r="F146" s="5" t="s">
        <v>285</v>
      </c>
      <c r="G146" s="5" t="s">
        <v>51</v>
      </c>
      <c r="H146" s="5" t="s">
        <v>37</v>
      </c>
      <c r="I146" s="5">
        <v>10.7</v>
      </c>
      <c r="J146" s="5">
        <v>2.5</v>
      </c>
      <c r="K146" s="5" t="s">
        <v>38</v>
      </c>
      <c r="L146" s="5" t="s">
        <v>38</v>
      </c>
      <c r="M146" s="5" t="s">
        <v>38</v>
      </c>
      <c r="N146" s="5"/>
      <c r="O146" s="5" t="s">
        <v>39</v>
      </c>
      <c r="P146" s="6"/>
      <c r="Q146" s="6"/>
    </row>
    <row r="147" spans="1:17" ht="15" customHeight="1" x14ac:dyDescent="0.2">
      <c r="A147" s="5" t="s">
        <v>264</v>
      </c>
      <c r="B147" s="5" t="s">
        <v>56</v>
      </c>
      <c r="C147" s="5">
        <v>1</v>
      </c>
      <c r="D147" s="5" t="s">
        <v>34</v>
      </c>
      <c r="E147" s="5" t="s">
        <v>265</v>
      </c>
      <c r="F147" s="5" t="s">
        <v>200</v>
      </c>
      <c r="G147" s="5" t="s">
        <v>37</v>
      </c>
      <c r="H147" s="5" t="s">
        <v>37</v>
      </c>
      <c r="I147" s="5">
        <v>-2.2000000000000002</v>
      </c>
      <c r="J147" s="5">
        <v>0.8</v>
      </c>
      <c r="K147" s="5" t="s">
        <v>38</v>
      </c>
      <c r="L147" s="5" t="s">
        <v>38</v>
      </c>
      <c r="M147" s="5" t="s">
        <v>38</v>
      </c>
      <c r="N147" s="5"/>
      <c r="O147" s="5" t="s">
        <v>39</v>
      </c>
      <c r="P147" s="6"/>
      <c r="Q147" s="6"/>
    </row>
    <row r="148" spans="1:17" ht="34.5" customHeight="1" x14ac:dyDescent="0.2">
      <c r="A148" s="7" t="s">
        <v>264</v>
      </c>
      <c r="B148" s="7" t="s">
        <v>56</v>
      </c>
      <c r="C148" s="7">
        <v>2</v>
      </c>
      <c r="D148" s="7" t="s">
        <v>34</v>
      </c>
      <c r="E148" s="7" t="s">
        <v>266</v>
      </c>
      <c r="F148" s="7" t="s">
        <v>286</v>
      </c>
      <c r="G148" s="7" t="s">
        <v>37</v>
      </c>
      <c r="H148" s="7" t="s">
        <v>37</v>
      </c>
      <c r="I148" s="7">
        <v>8.3000000000000007</v>
      </c>
      <c r="J148" s="7">
        <v>5.8</v>
      </c>
      <c r="K148" s="7" t="s">
        <v>52</v>
      </c>
      <c r="L148" s="7" t="s">
        <v>38</v>
      </c>
      <c r="M148" s="7" t="s">
        <v>38</v>
      </c>
      <c r="N148" s="7" t="s">
        <v>268</v>
      </c>
      <c r="O148" s="7" t="s">
        <v>39</v>
      </c>
      <c r="P148" s="8" t="s">
        <v>38</v>
      </c>
      <c r="Q148" s="6"/>
    </row>
    <row r="149" spans="1:17" ht="34.5" customHeight="1" x14ac:dyDescent="0.2">
      <c r="A149" s="5" t="s">
        <v>264</v>
      </c>
      <c r="B149" s="5" t="s">
        <v>56</v>
      </c>
      <c r="C149" s="5">
        <v>3</v>
      </c>
      <c r="D149" s="5" t="s">
        <v>48</v>
      </c>
      <c r="E149" s="5" t="s">
        <v>287</v>
      </c>
      <c r="F149" s="5" t="s">
        <v>288</v>
      </c>
      <c r="G149" s="5" t="s">
        <v>51</v>
      </c>
      <c r="H149" s="5" t="s">
        <v>37</v>
      </c>
      <c r="I149" s="5">
        <v>11.2</v>
      </c>
      <c r="J149" s="5">
        <v>6.7</v>
      </c>
      <c r="K149" s="5" t="s">
        <v>38</v>
      </c>
      <c r="L149" s="5" t="s">
        <v>38</v>
      </c>
      <c r="M149" s="5" t="s">
        <v>38</v>
      </c>
      <c r="N149" s="5"/>
      <c r="O149" s="5" t="s">
        <v>39</v>
      </c>
      <c r="P149" s="6"/>
      <c r="Q149" s="6"/>
    </row>
    <row r="150" spans="1:17" ht="15" customHeight="1" x14ac:dyDescent="0.2">
      <c r="A150" s="5" t="s">
        <v>264</v>
      </c>
      <c r="B150" s="5" t="s">
        <v>56</v>
      </c>
      <c r="C150" s="5">
        <v>4</v>
      </c>
      <c r="D150" s="5" t="s">
        <v>48</v>
      </c>
      <c r="E150" s="5" t="s">
        <v>277</v>
      </c>
      <c r="F150" s="5" t="s">
        <v>247</v>
      </c>
      <c r="G150" s="5" t="s">
        <v>51</v>
      </c>
      <c r="H150" s="5" t="s">
        <v>51</v>
      </c>
      <c r="I150" s="5">
        <v>18.399999999999999</v>
      </c>
      <c r="J150" s="5">
        <v>5.2</v>
      </c>
      <c r="K150" s="5" t="s">
        <v>38</v>
      </c>
      <c r="L150" s="5" t="s">
        <v>38</v>
      </c>
      <c r="M150" s="5" t="s">
        <v>38</v>
      </c>
      <c r="N150" s="5"/>
      <c r="O150" s="5" t="s">
        <v>39</v>
      </c>
      <c r="P150" s="6"/>
      <c r="Q150" s="6"/>
    </row>
    <row r="151" spans="1:17" ht="15" customHeight="1" x14ac:dyDescent="0.2">
      <c r="A151" s="5" t="s">
        <v>264</v>
      </c>
      <c r="B151" s="5" t="s">
        <v>56</v>
      </c>
      <c r="C151" s="5">
        <v>5</v>
      </c>
      <c r="D151" s="5" t="s">
        <v>48</v>
      </c>
      <c r="E151" s="5" t="s">
        <v>275</v>
      </c>
      <c r="F151" s="5" t="s">
        <v>289</v>
      </c>
      <c r="G151" s="5" t="s">
        <v>51</v>
      </c>
      <c r="H151" s="5" t="s">
        <v>51</v>
      </c>
      <c r="I151" s="5">
        <v>8.4</v>
      </c>
      <c r="J151" s="5">
        <v>8.1999999999999993</v>
      </c>
      <c r="K151" s="5" t="s">
        <v>38</v>
      </c>
      <c r="L151" s="5" t="s">
        <v>38</v>
      </c>
      <c r="M151" s="5" t="s">
        <v>38</v>
      </c>
      <c r="N151" s="5"/>
      <c r="O151" s="5" t="s">
        <v>39</v>
      </c>
      <c r="P151" s="6"/>
      <c r="Q151" s="6"/>
    </row>
    <row r="152" spans="1:17" ht="23.25" customHeight="1" x14ac:dyDescent="0.2">
      <c r="A152" s="5" t="s">
        <v>264</v>
      </c>
      <c r="B152" s="5" t="s">
        <v>56</v>
      </c>
      <c r="C152" s="5">
        <v>6</v>
      </c>
      <c r="D152" s="5" t="s">
        <v>48</v>
      </c>
      <c r="E152" s="5" t="s">
        <v>278</v>
      </c>
      <c r="F152" s="5" t="s">
        <v>290</v>
      </c>
      <c r="G152" s="5" t="s">
        <v>51</v>
      </c>
      <c r="H152" s="5" t="s">
        <v>37</v>
      </c>
      <c r="I152" s="5">
        <v>11.1</v>
      </c>
      <c r="J152" s="5">
        <v>9.6</v>
      </c>
      <c r="K152" s="5" t="s">
        <v>38</v>
      </c>
      <c r="L152" s="5" t="s">
        <v>38</v>
      </c>
      <c r="M152" s="5" t="s">
        <v>38</v>
      </c>
      <c r="N152" s="5"/>
      <c r="O152" s="5" t="s">
        <v>39</v>
      </c>
      <c r="P152" s="6"/>
      <c r="Q152" s="6"/>
    </row>
    <row r="153" spans="1:17" ht="15" customHeight="1" x14ac:dyDescent="0.2">
      <c r="A153" s="5" t="s">
        <v>264</v>
      </c>
      <c r="B153" s="5" t="s">
        <v>56</v>
      </c>
      <c r="C153" s="5">
        <v>7</v>
      </c>
      <c r="D153" s="5" t="s">
        <v>48</v>
      </c>
      <c r="E153" s="5" t="s">
        <v>280</v>
      </c>
      <c r="F153" s="5" t="s">
        <v>281</v>
      </c>
      <c r="G153" s="5" t="s">
        <v>51</v>
      </c>
      <c r="H153" s="5" t="s">
        <v>51</v>
      </c>
      <c r="I153" s="5">
        <v>12.5</v>
      </c>
      <c r="J153" s="5">
        <v>5.7</v>
      </c>
      <c r="K153" s="5" t="s">
        <v>38</v>
      </c>
      <c r="L153" s="5" t="s">
        <v>38</v>
      </c>
      <c r="M153" s="5" t="s">
        <v>38</v>
      </c>
      <c r="N153" s="5"/>
      <c r="O153" s="5" t="s">
        <v>39</v>
      </c>
      <c r="P153" s="6"/>
      <c r="Q153" s="6"/>
    </row>
    <row r="154" spans="1:17" ht="57" customHeight="1" x14ac:dyDescent="0.2">
      <c r="A154" s="5" t="s">
        <v>264</v>
      </c>
      <c r="B154" s="5" t="s">
        <v>56</v>
      </c>
      <c r="C154" s="5">
        <v>8</v>
      </c>
      <c r="D154" s="5" t="s">
        <v>48</v>
      </c>
      <c r="E154" s="5" t="s">
        <v>291</v>
      </c>
      <c r="F154" s="5" t="s">
        <v>292</v>
      </c>
      <c r="G154" s="5" t="s">
        <v>51</v>
      </c>
      <c r="H154" s="5" t="s">
        <v>37</v>
      </c>
      <c r="I154" s="5">
        <v>26</v>
      </c>
      <c r="J154" s="5">
        <v>10</v>
      </c>
      <c r="K154" s="5" t="s">
        <v>38</v>
      </c>
      <c r="L154" s="5" t="s">
        <v>38</v>
      </c>
      <c r="M154" s="5" t="s">
        <v>38</v>
      </c>
      <c r="N154" s="5"/>
      <c r="O154" s="5" t="s">
        <v>39</v>
      </c>
      <c r="P154" s="6"/>
      <c r="Q154" s="6"/>
    </row>
    <row r="155" spans="1:17" ht="23.25" customHeight="1" x14ac:dyDescent="0.2">
      <c r="A155" s="5" t="s">
        <v>293</v>
      </c>
      <c r="B155" s="5" t="s">
        <v>33</v>
      </c>
      <c r="C155" s="5">
        <v>1</v>
      </c>
      <c r="D155" s="5" t="s">
        <v>34</v>
      </c>
      <c r="E155" s="5" t="s">
        <v>294</v>
      </c>
      <c r="F155" s="5" t="s">
        <v>119</v>
      </c>
      <c r="G155" s="5" t="s">
        <v>37</v>
      </c>
      <c r="H155" s="5" t="s">
        <v>37</v>
      </c>
      <c r="I155" s="5">
        <v>5.8</v>
      </c>
      <c r="J155" s="5">
        <v>0.6</v>
      </c>
      <c r="K155" s="5" t="s">
        <v>38</v>
      </c>
      <c r="L155" s="5" t="s">
        <v>38</v>
      </c>
      <c r="M155" s="5" t="s">
        <v>38</v>
      </c>
      <c r="N155" s="5"/>
      <c r="O155" s="5" t="s">
        <v>39</v>
      </c>
      <c r="P155" s="6"/>
      <c r="Q155" s="6"/>
    </row>
    <row r="156" spans="1:17" ht="23.25" customHeight="1" x14ac:dyDescent="0.2">
      <c r="A156" s="5" t="s">
        <v>293</v>
      </c>
      <c r="B156" s="5" t="s">
        <v>33</v>
      </c>
      <c r="C156" s="5">
        <v>2</v>
      </c>
      <c r="D156" s="5" t="s">
        <v>34</v>
      </c>
      <c r="E156" s="5" t="s">
        <v>295</v>
      </c>
      <c r="F156" s="5" t="s">
        <v>296</v>
      </c>
      <c r="G156" s="5" t="s">
        <v>37</v>
      </c>
      <c r="H156" s="5" t="s">
        <v>37</v>
      </c>
      <c r="I156" s="5">
        <v>1.3</v>
      </c>
      <c r="J156" s="5">
        <v>3</v>
      </c>
      <c r="K156" s="5" t="s">
        <v>38</v>
      </c>
      <c r="L156" s="5" t="s">
        <v>38</v>
      </c>
      <c r="M156" s="5" t="s">
        <v>38</v>
      </c>
      <c r="N156" s="5"/>
      <c r="O156" s="5" t="s">
        <v>39</v>
      </c>
      <c r="P156" s="6"/>
      <c r="Q156" s="6"/>
    </row>
    <row r="157" spans="1:17" ht="23.25" customHeight="1" x14ac:dyDescent="0.2">
      <c r="A157" s="5" t="s">
        <v>293</v>
      </c>
      <c r="B157" s="5" t="s">
        <v>33</v>
      </c>
      <c r="C157" s="5">
        <v>3</v>
      </c>
      <c r="D157" s="5" t="s">
        <v>34</v>
      </c>
      <c r="E157" s="5" t="s">
        <v>297</v>
      </c>
      <c r="F157" s="5" t="s">
        <v>298</v>
      </c>
      <c r="G157" s="5" t="s">
        <v>37</v>
      </c>
      <c r="H157" s="5" t="s">
        <v>37</v>
      </c>
      <c r="I157" s="5">
        <v>2.2999999999999998</v>
      </c>
      <c r="J157" s="5">
        <v>8</v>
      </c>
      <c r="K157" s="5" t="s">
        <v>38</v>
      </c>
      <c r="L157" s="5" t="s">
        <v>38</v>
      </c>
      <c r="M157" s="5" t="s">
        <v>38</v>
      </c>
      <c r="N157" s="5"/>
      <c r="O157" s="5" t="s">
        <v>39</v>
      </c>
      <c r="P157" s="6"/>
      <c r="Q157" s="6"/>
    </row>
    <row r="158" spans="1:17" ht="23.25" customHeight="1" x14ac:dyDescent="0.2">
      <c r="A158" s="5" t="s">
        <v>293</v>
      </c>
      <c r="B158" s="5" t="s">
        <v>33</v>
      </c>
      <c r="C158" s="5">
        <v>4</v>
      </c>
      <c r="D158" s="5" t="s">
        <v>34</v>
      </c>
      <c r="E158" s="5" t="s">
        <v>299</v>
      </c>
      <c r="F158" s="5" t="s">
        <v>300</v>
      </c>
      <c r="G158" s="5" t="s">
        <v>37</v>
      </c>
      <c r="H158" s="5" t="s">
        <v>37</v>
      </c>
      <c r="I158" s="5">
        <v>10.7</v>
      </c>
      <c r="J158" s="5">
        <v>5</v>
      </c>
      <c r="K158" s="5" t="s">
        <v>38</v>
      </c>
      <c r="L158" s="5" t="s">
        <v>38</v>
      </c>
      <c r="M158" s="5" t="s">
        <v>38</v>
      </c>
      <c r="N158" s="5"/>
      <c r="O158" s="5" t="s">
        <v>39</v>
      </c>
      <c r="P158" s="6"/>
      <c r="Q158" s="6"/>
    </row>
    <row r="159" spans="1:17" ht="57" customHeight="1" x14ac:dyDescent="0.2">
      <c r="A159" s="7" t="s">
        <v>293</v>
      </c>
      <c r="B159" s="7" t="s">
        <v>33</v>
      </c>
      <c r="C159" s="7">
        <v>5</v>
      </c>
      <c r="D159" s="7" t="s">
        <v>34</v>
      </c>
      <c r="E159" s="7" t="s">
        <v>301</v>
      </c>
      <c r="F159" s="7" t="s">
        <v>302</v>
      </c>
      <c r="G159" s="7" t="s">
        <v>37</v>
      </c>
      <c r="H159" s="7" t="s">
        <v>37</v>
      </c>
      <c r="I159" s="7">
        <v>22</v>
      </c>
      <c r="J159" s="7">
        <v>16.600000000000001</v>
      </c>
      <c r="K159" s="7" t="s">
        <v>38</v>
      </c>
      <c r="L159" s="7" t="s">
        <v>52</v>
      </c>
      <c r="M159" s="7" t="s">
        <v>38</v>
      </c>
      <c r="N159" s="7" t="s">
        <v>303</v>
      </c>
      <c r="O159" s="7" t="s">
        <v>39</v>
      </c>
      <c r="P159" s="8" t="s">
        <v>38</v>
      </c>
      <c r="Q159" s="6"/>
    </row>
    <row r="160" spans="1:17" ht="23.25" customHeight="1" x14ac:dyDescent="0.2">
      <c r="A160" s="7" t="s">
        <v>293</v>
      </c>
      <c r="B160" s="7" t="s">
        <v>33</v>
      </c>
      <c r="C160" s="7">
        <v>6</v>
      </c>
      <c r="D160" s="7" t="s">
        <v>34</v>
      </c>
      <c r="E160" s="7" t="s">
        <v>304</v>
      </c>
      <c r="F160" s="7" t="s">
        <v>305</v>
      </c>
      <c r="G160" s="7" t="s">
        <v>51</v>
      </c>
      <c r="H160" s="7" t="s">
        <v>51</v>
      </c>
      <c r="I160" s="7">
        <v>10.199999999999999</v>
      </c>
      <c r="J160" s="7">
        <v>9.6</v>
      </c>
      <c r="K160" s="7" t="s">
        <v>52</v>
      </c>
      <c r="L160" s="7" t="s">
        <v>38</v>
      </c>
      <c r="M160" s="7" t="s">
        <v>38</v>
      </c>
      <c r="N160" s="7" t="s">
        <v>306</v>
      </c>
      <c r="O160" s="7" t="s">
        <v>39</v>
      </c>
      <c r="P160" s="8" t="s">
        <v>38</v>
      </c>
      <c r="Q160" s="6"/>
    </row>
    <row r="161" spans="1:17" ht="45.75" customHeight="1" x14ac:dyDescent="0.2">
      <c r="A161" s="7" t="s">
        <v>293</v>
      </c>
      <c r="B161" s="7" t="s">
        <v>33</v>
      </c>
      <c r="C161" s="7">
        <v>7</v>
      </c>
      <c r="D161" s="7" t="s">
        <v>48</v>
      </c>
      <c r="E161" s="7" t="s">
        <v>307</v>
      </c>
      <c r="F161" s="7" t="s">
        <v>308</v>
      </c>
      <c r="G161" s="7" t="s">
        <v>51</v>
      </c>
      <c r="H161" s="7" t="s">
        <v>37</v>
      </c>
      <c r="I161" s="7">
        <v>15.5</v>
      </c>
      <c r="J161" s="7">
        <v>12</v>
      </c>
      <c r="K161" s="7" t="s">
        <v>52</v>
      </c>
      <c r="L161" s="7" t="s">
        <v>38</v>
      </c>
      <c r="M161" s="7" t="s">
        <v>38</v>
      </c>
      <c r="N161" s="7" t="s">
        <v>309</v>
      </c>
      <c r="O161" s="7" t="s">
        <v>39</v>
      </c>
      <c r="P161" s="15" t="s">
        <v>38</v>
      </c>
      <c r="Q161" s="6"/>
    </row>
    <row r="162" spans="1:17" ht="45.75" customHeight="1" x14ac:dyDescent="0.2">
      <c r="A162" s="5" t="s">
        <v>293</v>
      </c>
      <c r="B162" s="5" t="s">
        <v>33</v>
      </c>
      <c r="C162" s="5">
        <v>8</v>
      </c>
      <c r="D162" s="5" t="s">
        <v>48</v>
      </c>
      <c r="E162" s="5" t="s">
        <v>310</v>
      </c>
      <c r="F162" s="5" t="s">
        <v>311</v>
      </c>
      <c r="G162" s="5" t="s">
        <v>51</v>
      </c>
      <c r="H162" s="5" t="s">
        <v>37</v>
      </c>
      <c r="I162" s="5">
        <v>16.600000000000001</v>
      </c>
      <c r="J162" s="5">
        <v>2.5</v>
      </c>
      <c r="K162" s="5" t="s">
        <v>38</v>
      </c>
      <c r="L162" s="5" t="s">
        <v>38</v>
      </c>
      <c r="M162" s="5" t="s">
        <v>38</v>
      </c>
      <c r="N162" s="5"/>
      <c r="O162" s="5" t="s">
        <v>39</v>
      </c>
      <c r="P162" s="6"/>
      <c r="Q162" s="6"/>
    </row>
    <row r="163" spans="1:17" ht="23.25" customHeight="1" x14ac:dyDescent="0.2">
      <c r="A163" s="5" t="s">
        <v>293</v>
      </c>
      <c r="B163" s="5" t="s">
        <v>33</v>
      </c>
      <c r="C163" s="5">
        <v>9</v>
      </c>
      <c r="D163" s="5" t="s">
        <v>48</v>
      </c>
      <c r="E163" s="5" t="s">
        <v>312</v>
      </c>
      <c r="F163" s="5" t="s">
        <v>313</v>
      </c>
      <c r="G163" s="5" t="s">
        <v>51</v>
      </c>
      <c r="H163" s="5" t="s">
        <v>37</v>
      </c>
      <c r="I163" s="5">
        <v>13.1</v>
      </c>
      <c r="J163" s="5">
        <v>4.4000000000000004</v>
      </c>
      <c r="K163" s="5" t="s">
        <v>38</v>
      </c>
      <c r="L163" s="5" t="s">
        <v>38</v>
      </c>
      <c r="M163" s="5" t="s">
        <v>38</v>
      </c>
      <c r="N163" s="5"/>
      <c r="O163" s="5" t="s">
        <v>39</v>
      </c>
      <c r="P163" s="6"/>
      <c r="Q163" s="6"/>
    </row>
    <row r="164" spans="1:17" ht="45.75" customHeight="1" x14ac:dyDescent="0.2">
      <c r="A164" s="5" t="s">
        <v>293</v>
      </c>
      <c r="B164" s="5" t="s">
        <v>33</v>
      </c>
      <c r="C164" s="5">
        <v>10</v>
      </c>
      <c r="D164" s="5" t="s">
        <v>48</v>
      </c>
      <c r="E164" s="5" t="s">
        <v>314</v>
      </c>
      <c r="F164" s="5" t="s">
        <v>315</v>
      </c>
      <c r="G164" s="5" t="s">
        <v>51</v>
      </c>
      <c r="H164" s="5" t="s">
        <v>37</v>
      </c>
      <c r="I164" s="5">
        <v>21.3</v>
      </c>
      <c r="J164" s="5">
        <v>12.3</v>
      </c>
      <c r="K164" s="5" t="s">
        <v>38</v>
      </c>
      <c r="L164" s="5" t="s">
        <v>38</v>
      </c>
      <c r="M164" s="5" t="s">
        <v>38</v>
      </c>
      <c r="N164" s="5"/>
      <c r="O164" s="5" t="s">
        <v>39</v>
      </c>
      <c r="P164" s="6"/>
      <c r="Q164" s="6"/>
    </row>
    <row r="165" spans="1:17" ht="45.75" customHeight="1" x14ac:dyDescent="0.2">
      <c r="A165" s="5" t="s">
        <v>293</v>
      </c>
      <c r="B165" s="5" t="s">
        <v>33</v>
      </c>
      <c r="C165" s="5">
        <v>11</v>
      </c>
      <c r="D165" s="5" t="s">
        <v>48</v>
      </c>
      <c r="E165" s="5" t="s">
        <v>316</v>
      </c>
      <c r="F165" s="5" t="s">
        <v>317</v>
      </c>
      <c r="G165" s="5" t="s">
        <v>51</v>
      </c>
      <c r="H165" s="5" t="s">
        <v>37</v>
      </c>
      <c r="I165" s="5">
        <v>18.7</v>
      </c>
      <c r="J165" s="5">
        <v>7.8</v>
      </c>
      <c r="K165" s="5" t="s">
        <v>38</v>
      </c>
      <c r="L165" s="5" t="s">
        <v>38</v>
      </c>
      <c r="M165" s="5" t="s">
        <v>38</v>
      </c>
      <c r="N165" s="5"/>
      <c r="O165" s="5" t="s">
        <v>39</v>
      </c>
      <c r="P165" s="6"/>
      <c r="Q165" s="6"/>
    </row>
    <row r="166" spans="1:17" ht="45.75" customHeight="1" x14ac:dyDescent="0.2">
      <c r="A166" s="5" t="s">
        <v>293</v>
      </c>
      <c r="B166" s="5" t="s">
        <v>33</v>
      </c>
      <c r="C166" s="5">
        <v>12</v>
      </c>
      <c r="D166" s="5" t="s">
        <v>48</v>
      </c>
      <c r="E166" s="5" t="s">
        <v>318</v>
      </c>
      <c r="F166" s="5" t="s">
        <v>319</v>
      </c>
      <c r="G166" s="5" t="s">
        <v>51</v>
      </c>
      <c r="H166" s="5" t="s">
        <v>51</v>
      </c>
      <c r="I166" s="5">
        <v>12.6</v>
      </c>
      <c r="J166" s="5">
        <v>7.1</v>
      </c>
      <c r="K166" s="5" t="s">
        <v>38</v>
      </c>
      <c r="L166" s="5" t="s">
        <v>38</v>
      </c>
      <c r="M166" s="5" t="s">
        <v>38</v>
      </c>
      <c r="N166" s="5"/>
      <c r="O166" s="5" t="s">
        <v>39</v>
      </c>
      <c r="P166" s="6"/>
      <c r="Q166" s="6"/>
    </row>
    <row r="167" spans="1:17" ht="23.25" customHeight="1" x14ac:dyDescent="0.2">
      <c r="A167" s="5" t="s">
        <v>293</v>
      </c>
      <c r="B167" s="5" t="s">
        <v>33</v>
      </c>
      <c r="C167" s="5">
        <v>13</v>
      </c>
      <c r="D167" s="5" t="s">
        <v>48</v>
      </c>
      <c r="E167" s="5" t="s">
        <v>320</v>
      </c>
      <c r="F167" s="5" t="s">
        <v>321</v>
      </c>
      <c r="G167" s="5" t="s">
        <v>51</v>
      </c>
      <c r="H167" s="5" t="s">
        <v>51</v>
      </c>
      <c r="I167" s="5">
        <v>15.3</v>
      </c>
      <c r="J167" s="5">
        <v>9.1</v>
      </c>
      <c r="K167" s="5" t="s">
        <v>38</v>
      </c>
      <c r="L167" s="5" t="s">
        <v>38</v>
      </c>
      <c r="M167" s="5" t="s">
        <v>38</v>
      </c>
      <c r="N167" s="5"/>
      <c r="O167" s="5" t="s">
        <v>39</v>
      </c>
      <c r="P167" s="6"/>
      <c r="Q167" s="6"/>
    </row>
    <row r="168" spans="1:17" ht="34.5" customHeight="1" x14ac:dyDescent="0.2">
      <c r="A168" s="7" t="s">
        <v>293</v>
      </c>
      <c r="B168" s="7" t="s">
        <v>33</v>
      </c>
      <c r="C168" s="7">
        <v>14</v>
      </c>
      <c r="D168" s="7" t="s">
        <v>48</v>
      </c>
      <c r="E168" s="7" t="s">
        <v>322</v>
      </c>
      <c r="F168" s="7" t="s">
        <v>323</v>
      </c>
      <c r="G168" s="7" t="s">
        <v>51</v>
      </c>
      <c r="H168" s="7" t="s">
        <v>37</v>
      </c>
      <c r="I168" s="7">
        <v>15.8</v>
      </c>
      <c r="J168" s="7">
        <v>12.3</v>
      </c>
      <c r="K168" s="7" t="s">
        <v>38</v>
      </c>
      <c r="L168" s="7" t="s">
        <v>52</v>
      </c>
      <c r="M168" s="7" t="s">
        <v>38</v>
      </c>
      <c r="N168" s="7" t="s">
        <v>324</v>
      </c>
      <c r="O168" s="7" t="s">
        <v>39</v>
      </c>
      <c r="P168" s="8" t="s">
        <v>38</v>
      </c>
      <c r="Q168" s="6"/>
    </row>
    <row r="169" spans="1:17" ht="23.25" customHeight="1" x14ac:dyDescent="0.2">
      <c r="A169" s="5" t="s">
        <v>293</v>
      </c>
      <c r="B169" s="5" t="s">
        <v>56</v>
      </c>
      <c r="C169" s="5">
        <v>1</v>
      </c>
      <c r="D169" s="5" t="s">
        <v>34</v>
      </c>
      <c r="E169" s="5" t="s">
        <v>294</v>
      </c>
      <c r="F169" s="5" t="s">
        <v>325</v>
      </c>
      <c r="G169" s="5" t="s">
        <v>37</v>
      </c>
      <c r="H169" s="5" t="s">
        <v>37</v>
      </c>
      <c r="I169" s="5">
        <v>5.8</v>
      </c>
      <c r="J169" s="5">
        <v>0.8</v>
      </c>
      <c r="K169" s="5" t="s">
        <v>38</v>
      </c>
      <c r="L169" s="5" t="s">
        <v>38</v>
      </c>
      <c r="M169" s="5" t="s">
        <v>38</v>
      </c>
      <c r="N169" s="5"/>
      <c r="O169" s="5" t="s">
        <v>39</v>
      </c>
      <c r="P169" s="6"/>
      <c r="Q169" s="6"/>
    </row>
    <row r="170" spans="1:17" ht="15" customHeight="1" x14ac:dyDescent="0.2">
      <c r="A170" s="5" t="s">
        <v>293</v>
      </c>
      <c r="B170" s="5" t="s">
        <v>56</v>
      </c>
      <c r="C170" s="5">
        <v>2</v>
      </c>
      <c r="D170" s="5" t="s">
        <v>34</v>
      </c>
      <c r="E170" s="5" t="s">
        <v>295</v>
      </c>
      <c r="F170" s="5" t="s">
        <v>326</v>
      </c>
      <c r="G170" s="5" t="s">
        <v>37</v>
      </c>
      <c r="H170" s="5" t="s">
        <v>37</v>
      </c>
      <c r="I170" s="5">
        <v>1.3</v>
      </c>
      <c r="J170" s="5">
        <v>2.9</v>
      </c>
      <c r="K170" s="5" t="s">
        <v>38</v>
      </c>
      <c r="L170" s="5" t="s">
        <v>38</v>
      </c>
      <c r="M170" s="5" t="s">
        <v>38</v>
      </c>
      <c r="N170" s="5"/>
      <c r="O170" s="5" t="s">
        <v>39</v>
      </c>
      <c r="P170" s="6"/>
      <c r="Q170" s="6"/>
    </row>
    <row r="171" spans="1:17" ht="23.25" customHeight="1" x14ac:dyDescent="0.2">
      <c r="A171" s="5" t="s">
        <v>293</v>
      </c>
      <c r="B171" s="5" t="s">
        <v>56</v>
      </c>
      <c r="C171" s="5">
        <v>3</v>
      </c>
      <c r="D171" s="5" t="s">
        <v>34</v>
      </c>
      <c r="E171" s="5" t="s">
        <v>297</v>
      </c>
      <c r="F171" s="5" t="s">
        <v>327</v>
      </c>
      <c r="G171" s="5" t="s">
        <v>37</v>
      </c>
      <c r="H171" s="5" t="s">
        <v>37</v>
      </c>
      <c r="I171" s="5">
        <v>2.2999999999999998</v>
      </c>
      <c r="J171" s="5">
        <v>8.9</v>
      </c>
      <c r="K171" s="5" t="s">
        <v>38</v>
      </c>
      <c r="L171" s="5" t="s">
        <v>38</v>
      </c>
      <c r="M171" s="5" t="s">
        <v>38</v>
      </c>
      <c r="N171" s="5"/>
      <c r="O171" s="5" t="s">
        <v>39</v>
      </c>
      <c r="P171" s="6"/>
      <c r="Q171" s="6"/>
    </row>
    <row r="172" spans="1:17" ht="23.25" customHeight="1" x14ac:dyDescent="0.2">
      <c r="A172" s="5" t="s">
        <v>293</v>
      </c>
      <c r="B172" s="5" t="s">
        <v>56</v>
      </c>
      <c r="C172" s="5">
        <v>4</v>
      </c>
      <c r="D172" s="5" t="s">
        <v>34</v>
      </c>
      <c r="E172" s="5" t="s">
        <v>299</v>
      </c>
      <c r="F172" s="5" t="s">
        <v>328</v>
      </c>
      <c r="G172" s="5" t="s">
        <v>37</v>
      </c>
      <c r="H172" s="5" t="s">
        <v>37</v>
      </c>
      <c r="I172" s="5">
        <v>10.7</v>
      </c>
      <c r="J172" s="5">
        <v>6.7</v>
      </c>
      <c r="K172" s="5" t="s">
        <v>38</v>
      </c>
      <c r="L172" s="5" t="s">
        <v>38</v>
      </c>
      <c r="M172" s="5" t="s">
        <v>38</v>
      </c>
      <c r="N172" s="5"/>
      <c r="O172" s="5" t="s">
        <v>39</v>
      </c>
      <c r="P172" s="6"/>
      <c r="Q172" s="6"/>
    </row>
    <row r="173" spans="1:17" ht="23.25" customHeight="1" x14ac:dyDescent="0.2">
      <c r="A173" s="5" t="s">
        <v>293</v>
      </c>
      <c r="B173" s="5" t="s">
        <v>56</v>
      </c>
      <c r="C173" s="5">
        <v>5</v>
      </c>
      <c r="D173" s="5" t="s">
        <v>48</v>
      </c>
      <c r="E173" s="5" t="s">
        <v>312</v>
      </c>
      <c r="F173" s="5" t="s">
        <v>329</v>
      </c>
      <c r="G173" s="5" t="s">
        <v>51</v>
      </c>
      <c r="H173" s="5" t="s">
        <v>37</v>
      </c>
      <c r="I173" s="5">
        <v>13.1</v>
      </c>
      <c r="J173" s="5">
        <v>8.4</v>
      </c>
      <c r="K173" s="5" t="s">
        <v>38</v>
      </c>
      <c r="L173" s="5" t="s">
        <v>38</v>
      </c>
      <c r="M173" s="5" t="s">
        <v>38</v>
      </c>
      <c r="N173" s="5"/>
      <c r="O173" s="5" t="s">
        <v>39</v>
      </c>
      <c r="P173" s="6"/>
      <c r="Q173" s="6"/>
    </row>
    <row r="174" spans="1:17" ht="23.25" customHeight="1" x14ac:dyDescent="0.2">
      <c r="A174" s="5" t="s">
        <v>293</v>
      </c>
      <c r="B174" s="5" t="s">
        <v>56</v>
      </c>
      <c r="C174" s="5">
        <v>6</v>
      </c>
      <c r="D174" s="5" t="s">
        <v>34</v>
      </c>
      <c r="E174" s="5" t="s">
        <v>304</v>
      </c>
      <c r="F174" s="5" t="s">
        <v>247</v>
      </c>
      <c r="G174" s="5" t="s">
        <v>51</v>
      </c>
      <c r="H174" s="5" t="s">
        <v>51</v>
      </c>
      <c r="I174" s="5">
        <v>10.199999999999999</v>
      </c>
      <c r="J174" s="5">
        <v>5.2</v>
      </c>
      <c r="K174" s="5" t="s">
        <v>38</v>
      </c>
      <c r="L174" s="5" t="s">
        <v>38</v>
      </c>
      <c r="M174" s="5" t="s">
        <v>38</v>
      </c>
      <c r="N174" s="5"/>
      <c r="O174" s="5" t="s">
        <v>39</v>
      </c>
      <c r="P174" s="6"/>
      <c r="Q174" s="6"/>
    </row>
    <row r="175" spans="1:17" ht="45.75" customHeight="1" x14ac:dyDescent="0.2">
      <c r="A175" s="7" t="s">
        <v>293</v>
      </c>
      <c r="B175" s="7" t="s">
        <v>56</v>
      </c>
      <c r="C175" s="7">
        <v>7</v>
      </c>
      <c r="D175" s="7" t="s">
        <v>48</v>
      </c>
      <c r="E175" s="7" t="s">
        <v>307</v>
      </c>
      <c r="F175" s="7" t="s">
        <v>330</v>
      </c>
      <c r="G175" s="7" t="s">
        <v>51</v>
      </c>
      <c r="H175" s="7" t="s">
        <v>37</v>
      </c>
      <c r="I175" s="7">
        <v>15.5</v>
      </c>
      <c r="J175" s="7">
        <v>8.8000000000000007</v>
      </c>
      <c r="K175" s="7" t="s">
        <v>52</v>
      </c>
      <c r="L175" s="7" t="s">
        <v>38</v>
      </c>
      <c r="M175" s="7" t="s">
        <v>38</v>
      </c>
      <c r="N175" s="7" t="s">
        <v>309</v>
      </c>
      <c r="O175" s="7" t="s">
        <v>39</v>
      </c>
      <c r="P175" s="15" t="s">
        <v>38</v>
      </c>
      <c r="Q175" s="6"/>
    </row>
    <row r="176" spans="1:17" ht="34.5" customHeight="1" x14ac:dyDescent="0.2">
      <c r="A176" s="7" t="s">
        <v>293</v>
      </c>
      <c r="B176" s="7" t="s">
        <v>56</v>
      </c>
      <c r="C176" s="7">
        <v>8</v>
      </c>
      <c r="D176" s="7" t="s">
        <v>48</v>
      </c>
      <c r="E176" s="7" t="s">
        <v>318</v>
      </c>
      <c r="F176" s="7" t="s">
        <v>331</v>
      </c>
      <c r="G176" s="7" t="s">
        <v>51</v>
      </c>
      <c r="H176" s="7" t="s">
        <v>51</v>
      </c>
      <c r="I176" s="7">
        <v>12.6</v>
      </c>
      <c r="J176" s="7">
        <v>8.3000000000000007</v>
      </c>
      <c r="K176" s="7" t="s">
        <v>52</v>
      </c>
      <c r="L176" s="7" t="s">
        <v>38</v>
      </c>
      <c r="M176" s="7" t="s">
        <v>38</v>
      </c>
      <c r="N176" s="7" t="s">
        <v>332</v>
      </c>
      <c r="O176" s="7" t="s">
        <v>39</v>
      </c>
      <c r="P176" s="8" t="s">
        <v>38</v>
      </c>
      <c r="Q176" s="6"/>
    </row>
    <row r="177" spans="1:17" ht="34.5" customHeight="1" x14ac:dyDescent="0.2">
      <c r="A177" s="5" t="s">
        <v>293</v>
      </c>
      <c r="B177" s="5" t="s">
        <v>56</v>
      </c>
      <c r="C177" s="5">
        <v>9</v>
      </c>
      <c r="D177" s="5" t="s">
        <v>48</v>
      </c>
      <c r="E177" s="5" t="s">
        <v>333</v>
      </c>
      <c r="F177" s="5" t="s">
        <v>334</v>
      </c>
      <c r="G177" s="5" t="s">
        <v>51</v>
      </c>
      <c r="H177" s="5" t="s">
        <v>37</v>
      </c>
      <c r="I177" s="5">
        <v>14.4</v>
      </c>
      <c r="J177" s="5">
        <v>8.6999999999999993</v>
      </c>
      <c r="K177" s="5" t="s">
        <v>38</v>
      </c>
      <c r="L177" s="5" t="s">
        <v>38</v>
      </c>
      <c r="M177" s="5" t="s">
        <v>38</v>
      </c>
      <c r="N177" s="5"/>
      <c r="O177" s="5" t="s">
        <v>39</v>
      </c>
      <c r="P177" s="6"/>
      <c r="Q177" s="6"/>
    </row>
    <row r="178" spans="1:17" ht="23.25" customHeight="1" x14ac:dyDescent="0.2">
      <c r="A178" s="5" t="s">
        <v>293</v>
      </c>
      <c r="B178" s="5" t="s">
        <v>56</v>
      </c>
      <c r="C178" s="5">
        <v>10</v>
      </c>
      <c r="D178" s="5" t="s">
        <v>48</v>
      </c>
      <c r="E178" s="5" t="s">
        <v>320</v>
      </c>
      <c r="F178" s="5" t="s">
        <v>335</v>
      </c>
      <c r="G178" s="5" t="s">
        <v>51</v>
      </c>
      <c r="H178" s="5" t="s">
        <v>51</v>
      </c>
      <c r="I178" s="5">
        <v>15.3</v>
      </c>
      <c r="J178" s="5">
        <v>10.6</v>
      </c>
      <c r="K178" s="5" t="s">
        <v>38</v>
      </c>
      <c r="L178" s="5" t="s">
        <v>38</v>
      </c>
      <c r="M178" s="5" t="s">
        <v>38</v>
      </c>
      <c r="N178" s="5"/>
      <c r="O178" s="5" t="s">
        <v>39</v>
      </c>
      <c r="P178" s="6"/>
      <c r="Q178" s="6"/>
    </row>
  </sheetData>
  <autoFilter ref="A1:Q17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3" width="18" customWidth="1"/>
  </cols>
  <sheetData>
    <row r="1" spans="1:3" ht="15" customHeight="1" x14ac:dyDescent="0.2">
      <c r="A1" s="10" t="s">
        <v>336</v>
      </c>
      <c r="B1" s="10" t="s">
        <v>33</v>
      </c>
      <c r="C1" s="10" t="s">
        <v>56</v>
      </c>
    </row>
    <row r="2" spans="1:3" ht="15" customHeight="1" x14ac:dyDescent="0.2">
      <c r="A2" s="11" t="s">
        <v>337</v>
      </c>
      <c r="B2" s="11">
        <f>COUNTIF(Grades!$B$2:$B$178,B$1)</f>
        <v>100</v>
      </c>
      <c r="C2" s="11">
        <f>COUNTIF(Grades!$B$2:$B$178,C$1)</f>
        <v>77</v>
      </c>
    </row>
    <row r="3" spans="1:3" ht="15" customHeight="1" x14ac:dyDescent="0.2">
      <c r="A3" s="11" t="s">
        <v>338</v>
      </c>
      <c r="B3" s="11">
        <f>COUNTIFS(Grades!$B$2:$B$178,B$1,Grades!$K$2:$K$178,"N")</f>
        <v>14</v>
      </c>
      <c r="C3" s="11">
        <f>COUNTIFS(Grades!$B$2:$B$178,C$1,Grades!$K$2:$K$178,"N")</f>
        <v>5</v>
      </c>
    </row>
    <row r="4" spans="1:3" ht="15" customHeight="1" x14ac:dyDescent="0.2">
      <c r="A4" s="11" t="s">
        <v>339</v>
      </c>
      <c r="B4" s="11">
        <f>COUNTIFS(Grades!$B$2:$B$178,B$1,Grades!$L$2:$L$178,"N")</f>
        <v>4</v>
      </c>
      <c r="C4" s="11">
        <f>COUNTIFS(Grades!$B$2:$B$178,C$1,Grades!$L$2:$L$178,"N")</f>
        <v>2</v>
      </c>
    </row>
    <row r="5" spans="1:3" ht="15" customHeight="1" x14ac:dyDescent="0.2">
      <c r="A5" s="11" t="s">
        <v>340</v>
      </c>
      <c r="B5" s="11">
        <f>COUNTIFS(Grades!$B$2:$B$178,B$1,Grades!$M$2:$M$178,"N")</f>
        <v>2</v>
      </c>
      <c r="C5" s="11">
        <f>COUNTIFS(Grades!$B$2:$B$178,C$1,Grades!$M$2:$M$178,"N")</f>
        <v>0</v>
      </c>
    </row>
    <row r="6" spans="1:3" ht="15" customHeight="1" x14ac:dyDescent="0.2">
      <c r="A6" s="11" t="s">
        <v>341</v>
      </c>
      <c r="B6" s="11">
        <f>SUMPRODUCT((Grades!$B$2:$B$178=B$1)*(((Grades!$K$2:$K$178="N")+(Grades!$L$2:$L$178="N")+(Grades!$M$2:$M$178="N"))&gt;0))</f>
        <v>17</v>
      </c>
      <c r="C6" s="11">
        <f>SUMPRODUCT((Grades!$B$2:$B$178=C$1)*(((Grades!$K$2:$K$178="N")+(Grades!$L$2:$L$178="N")+(Grades!$M$2:$M$178="N"))&gt;0))</f>
        <v>7</v>
      </c>
    </row>
    <row r="7" spans="1:3" ht="15" customHeight="1" x14ac:dyDescent="0.2">
      <c r="A7" s="11" t="s">
        <v>342</v>
      </c>
      <c r="B7" s="12">
        <f>IFERROR(1-B6/B2,0)</f>
        <v>0.83</v>
      </c>
      <c r="C7" s="12">
        <f>IFERROR(1-C6/C2,0)</f>
        <v>0.90909090909090906</v>
      </c>
    </row>
    <row r="8" spans="1:3" ht="15" customHeight="1" x14ac:dyDescent="0.2">
      <c r="A8" s="11" t="s">
        <v>343</v>
      </c>
      <c r="B8" s="11">
        <f>COUNTIFS(Grades!$B$2:$B$178,B$1,Grades!$N$2:$N$178,"*dropped qualifier*")</f>
        <v>7</v>
      </c>
      <c r="C8" s="11">
        <f>COUNTIFS(Grades!$B$2:$B$178,C$1,Grades!$N$2:$N$178,"*dropped qualifier*")</f>
        <v>2</v>
      </c>
    </row>
    <row r="9" spans="1:3" ht="15" customHeight="1" x14ac:dyDescent="0.2">
      <c r="A9" s="11" t="s">
        <v>344</v>
      </c>
      <c r="B9" s="11">
        <f>COUNTIFS(Grades!$B$2:$B$178,B$1,Grades!$N$2:$N$178,"*missing requirement*")</f>
        <v>5</v>
      </c>
      <c r="C9" s="11">
        <f>COUNTIFS(Grades!$B$2:$B$178,C$1,Grades!$N$2:$N$178,"*missing requirement*")</f>
        <v>2</v>
      </c>
    </row>
    <row r="10" spans="1:3" ht="15" customHeight="1" x14ac:dyDescent="0.2">
      <c r="A10" s="11" t="s">
        <v>345</v>
      </c>
      <c r="B10" s="11">
        <f>COUNTIFS(Grades!$B$2:$B$178,B$1,Grades!$N$2:$N$178,"*confusing*")</f>
        <v>4</v>
      </c>
      <c r="C10" s="11">
        <f>COUNTIFS(Grades!$B$2:$B$178,C$1,Grades!$N$2:$N$178,"*confusing*")</f>
        <v>2</v>
      </c>
    </row>
    <row r="11" spans="1:3" ht="15" customHeight="1" x14ac:dyDescent="0.2">
      <c r="A11" s="11" t="s">
        <v>346</v>
      </c>
      <c r="B11" s="13">
        <f>AVERAGEIF(Grades!$B$2:$B$178,B$1,Grades!$I$2:$I$178)</f>
        <v>11.396999999999998</v>
      </c>
      <c r="C11" s="13">
        <f>AVERAGEIF(Grades!$B$2:$B$178,C$1,Grades!$I$2:$I$178)</f>
        <v>10.727272727272727</v>
      </c>
    </row>
    <row r="12" spans="1:3" ht="15" customHeight="1" x14ac:dyDescent="0.2">
      <c r="A12" s="11" t="s">
        <v>347</v>
      </c>
      <c r="B12" s="13">
        <f>AVERAGEIF(Grades!$B$2:$B$178,B$1,Grades!$J$2:$J$178)</f>
        <v>7.1960000000000006</v>
      </c>
      <c r="C12" s="13">
        <f>AVERAGEIF(Grades!$B$2:$B$178,C$1,Grades!$J$2:$J$178)</f>
        <v>7.4688311688311693</v>
      </c>
    </row>
    <row r="13" spans="1:3" ht="15" customHeight="1" x14ac:dyDescent="0.2">
      <c r="A13" s="11" t="s">
        <v>348</v>
      </c>
      <c r="B13" s="11">
        <f>COUNTIFS(Grades!$B$2:$B$178,B$1,Grades!$P$2:$P$178,"?*")</f>
        <v>17</v>
      </c>
      <c r="C13" s="11">
        <f>COUNTIFS(Grades!$B$2:$B$178,C$1,Grades!$P$2:$P$178,"?*")</f>
        <v>7</v>
      </c>
    </row>
    <row r="14" spans="1:3" ht="15" customHeight="1" x14ac:dyDescent="0.2">
      <c r="A14" s="11" t="s">
        <v>349</v>
      </c>
      <c r="B14" s="11">
        <f>COUNTIFS(Grades!$B$2:$B$178,B$1,Grades!$P$2:$P$178,"N")</f>
        <v>0</v>
      </c>
      <c r="C14" s="11">
        <f>COUNTIFS(Grades!$B$2:$B$178,C$1,Grades!$P$2:$P$178,"N")</f>
        <v>0</v>
      </c>
    </row>
    <row r="16" spans="1:3" ht="15" customHeight="1" x14ac:dyDescent="0.2">
      <c r="A16" s="14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review</vt:lpstr>
      <vt:lpstr>Grades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Rohan Gupta Shivaram</cp:lastModifiedBy>
  <cp:revision>0</cp:revision>
  <dcterms:created xsi:type="dcterms:W3CDTF">2026-09-28T19:09:28Z</dcterms:created>
  <dcterms:modified xsi:type="dcterms:W3CDTF">2026-10-03T01:28:14Z</dcterms:modified>
  <dc:language>en-US</dc:language>
</cp:coreProperties>
</file>