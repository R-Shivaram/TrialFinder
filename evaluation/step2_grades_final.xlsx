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rohanshivaram/Downloads/"/>
    </mc:Choice>
  </mc:AlternateContent>
  <xr:revisionPtr revIDLastSave="0" documentId="13_ncr:1_{FD70204F-B5C9-A144-BD53-4FB3F8D218A2}" xr6:coauthVersionLast="47" xr6:coauthVersionMax="47" xr10:uidLastSave="{00000000-0000-0000-0000-000000000000}"/>
  <bookViews>
    <workbookView xWindow="0" yWindow="660" windowWidth="29400" windowHeight="18460" tabRatio="500" xr2:uid="{00000000-000D-0000-FFFF-FFFF00000000}"/>
  </bookViews>
  <sheets>
    <sheet name="Grades" sheetId="1" r:id="rId1"/>
    <sheet name="How to review" sheetId="2" r:id="rId2"/>
    <sheet name="Summary" sheetId="3" r:id="rId3"/>
  </sheets>
  <definedNames>
    <definedName name="_xlnm._FilterDatabase" localSheetId="0" hidden="1">Grades!$A$1:$R$160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6" i="3" l="1"/>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D3" i="3"/>
  <c r="D4" i="3" s="1"/>
  <c r="C3" i="3"/>
  <c r="C4" i="3" s="1"/>
  <c r="D22" i="3" s="1"/>
  <c r="B3" i="3"/>
  <c r="B4" i="3" s="1"/>
  <c r="D21" i="3" s="1"/>
  <c r="D2" i="3"/>
  <c r="C2" i="3"/>
  <c r="E22" i="3" s="1"/>
  <c r="B2" i="3"/>
  <c r="E21" i="3" s="1"/>
</calcChain>
</file>

<file path=xl/sharedStrings.xml><?xml version="1.0" encoding="utf-8"?>
<sst xmlns="http://schemas.openxmlformats.org/spreadsheetml/2006/main" count="1851" uniqueCount="329">
  <si>
    <t>trial_id</t>
  </si>
  <si>
    <t>model</t>
  </si>
  <si>
    <t>question_number</t>
  </si>
  <si>
    <t>criterion_type</t>
  </si>
  <si>
    <t>original_text</t>
  </si>
  <si>
    <t>ai_question</t>
  </si>
  <si>
    <t>answer_that_counts_against</t>
  </si>
  <si>
    <t>sensitive_topic</t>
  </si>
  <si>
    <t>grade_level_original</t>
  </si>
  <si>
    <t>grade_level_question</t>
  </si>
  <si>
    <t>accurate (Y/N)</t>
  </si>
  <si>
    <t>easy to understand (Y/N)</t>
  </si>
  <si>
    <t>correct answer counts against (Y/N)</t>
  </si>
  <si>
    <t>notes</t>
  </si>
  <si>
    <t>flag</t>
  </si>
  <si>
    <t>first-pass grader</t>
  </si>
  <si>
    <t>Rohan agrees? (Y/N)</t>
  </si>
  <si>
    <t>Rohan notes</t>
  </si>
  <si>
    <t>NCT07661368</t>
  </si>
  <si>
    <t>study listing (no AI)</t>
  </si>
  <si>
    <t>inclusion</t>
  </si>
  <si>
    <t>Minimum Age: 50 Years · Maximum Age: 75 Years</t>
  </si>
  <si>
    <t>Are you between 50 and 75 years old?</t>
  </si>
  <si>
    <t>no</t>
  </si>
  <si>
    <t>Y</t>
  </si>
  <si>
    <t>Claude</t>
  </si>
  <si>
    <t>claude-opus-5</t>
  </si>
  <si>
    <t>Self-report family history of dementia or AD</t>
  </si>
  <si>
    <t>Does someone in your family have dementia or Alzheimer's disease (a brain illness that causes memory loss)?</t>
  </si>
  <si>
    <t>Smartphone (iOS or Android)</t>
  </si>
  <si>
    <t>Do you have a smartphone (an iPhone or an Android phone)?</t>
  </si>
  <si>
    <t>exclusion</t>
  </si>
  <si>
    <t>Food allergies or conditions requiring a specialized diet that would limit participation</t>
  </si>
  <si>
    <t>Do you have a food allergy, or a health problem that needs a special diet, that would stop you from taking part in a cooking and meal study?</t>
  </si>
  <si>
    <t>yes</t>
  </si>
  <si>
    <t>CHECK: adds "cooking and meal study," which is not in the original text shown. Probably from the trial description - confirm it matches the trial</t>
  </si>
  <si>
    <t>check</t>
  </si>
  <si>
    <t>Score of 5 or greater on ADA (diabetes) screener</t>
  </si>
  <si>
    <t>Have you scored 5 or more on the ADA diabetes risk screener (a short American Diabetes Association quiz that adds up points for things like age, weight, and family history)?</t>
  </si>
  <si>
    <t>claude-sonnet-5</t>
  </si>
  <si>
    <t>On the ADA (American Diabetes Association) diabetes risk screener, did you score 5 or higher?</t>
  </si>
  <si>
    <t>Do you have a family history of dementia or Alzheimer's disease (AD)?</t>
  </si>
  <si>
    <t>Do you have a smartphone that uses iOS (Apple) or Android?</t>
  </si>
  <si>
    <t>Do you have a food allergy or a condition that needs a special diet that would limit your ability to take part in this study?</t>
  </si>
  <si>
    <t>NCT05933161</t>
  </si>
  <si>
    <t>Minimum Age: 18 Years</t>
  </si>
  <si>
    <t>Are you 18 years old or older?</t>
  </si>
  <si>
    <t>Accepts Healthy Volunteers: No · Conditions: Type 2 Diabetes Mellitus, Hyperglycemia, Hypoglycemia</t>
  </si>
  <si>
    <t>Do you have type 2 diabetes (a long-term condition where your body has trouble using insulin, so your blood sugar runs high)?</t>
  </si>
  <si>
    <t>CHECK: this "from the listing" question comes from the trial's Conditions field, which is not strictly an eligibility rule. Fine for type 2 diabetes trials, but worth knowing</t>
  </si>
  <si>
    <t>Prior implantation of contemporary, centrifugal flow LVAD (HeartWare or HeartMate 3) at any time after 2010</t>
  </si>
  <si>
    <t>Have you had an LVAD (a heart pump implanted to help your heart pump blood) put in at any time after 2010, either a HeartWare or a HeartMate 3?</t>
  </si>
  <si>
    <t>Greater than 3 months out from LVAD implantation</t>
  </si>
  <si>
    <t>Has it been more than 3 months since your LVAD (heart pump) was put in?</t>
  </si>
  <si>
    <t>Any antihyperglycemic regimen</t>
  </si>
  <si>
    <t>Are you taking any medicine to lower your blood sugar (such as pills or insulin)?</t>
  </si>
  <si>
    <t>Capable of utilizing smartphone device for LibreLink app for uploading glycemic data</t>
  </si>
  <si>
    <t>Are you able to use a smartphone with the LibreLink app (a phone app that uploads blood sugar readings)?</t>
  </si>
  <si>
    <t>Type I diabetics</t>
  </si>
  <si>
    <t>Do you have type 1 diabetes (a condition where the body makes little or no insulin, usually starting in childhood)?</t>
  </si>
  <si>
    <t>Unable to return at 3 month evaluation</t>
  </si>
  <si>
    <t>Are you able to come back for a study visit at 3 months?</t>
  </si>
  <si>
    <t>Do you have a HeartWare or HeartMate 3 LVAD (a mechanical pump implanted in your chest to help your heart pump blood) that was implanted after 2010?</t>
  </si>
  <si>
    <t>Was your LVAD (heart pump) implanted more than 3 months ago?</t>
  </si>
  <si>
    <t>Can you use a smartphone app, such as LibreLink, to upload blood sugar (glucose) readings?</t>
  </si>
  <si>
    <t>NCT06628453</t>
  </si>
  <si>
    <t>Minimum Age: 18 Years · Maximum Age: 50 Years</t>
  </si>
  <si>
    <t>Are you between 18 and 50 years old?</t>
  </si>
  <si>
    <t>Sexes Eligible for Study: Female</t>
  </si>
  <si>
    <t>Is your sex female?</t>
  </si>
  <si>
    <t>Accepts Healthy Volunteers: No · Conditions: Type 2 Diabetes Mellitus (T2DM), Pregnancy</t>
  </si>
  <si>
    <t>Pregnant with viable fetus at 6 to less than 23 weeks gestation</t>
  </si>
  <si>
    <t>Are you pregnant now, between 6 weeks and less than 23 weeks along?</t>
  </si>
  <si>
    <t>Type 2 diabetes mellitus treated with daily insulin injections or oral hypoglycemic agents diagnosed before pregnancy or at less than 14 weeks gestation with hemoglobin A1c 6.5% or greater</t>
  </si>
  <si>
    <t>Is your diabetes treated with daily insulin shots or diabetes pills (medicines taken by mouth that lower blood sugar)?</t>
  </si>
  <si>
    <t>Was your diabetes found before this pregnancy, or before you were 14 weeks pregnant?</t>
  </si>
  <si>
    <t>Was your hemoglobin A1c (a blood test that shows your average blood sugar over about 3 months) 6.5% or higher?</t>
  </si>
  <si>
    <t>Multiple gestation</t>
  </si>
  <si>
    <t>Are you carrying more than one baby (such as twins or triplets)?</t>
  </si>
  <si>
    <t>Unable or unwilling to wear CGM due to intolerance to medical-grade adhesives or skin conditions</t>
  </si>
  <si>
    <t>Would you be unable or unwilling to wear a CGM (a small sensor worn on the skin that tracks blood sugar) because medical tape or adhesives bother you, or because of a skin condition?</t>
  </si>
  <si>
    <t>Participation in this trial in a previous pregnancy</t>
  </si>
  <si>
    <t>Did you take part in this same study during an earlier pregnancy?</t>
  </si>
  <si>
    <t>Are you currently treated for type 2 diabetes with daily insulin injections or oral diabetes pills (oral hypoglycemic agents)?</t>
  </si>
  <si>
    <t>Were you diagnosed with type 2 diabetes before this pregnancy started, or before you were 14 weeks pregnant?</t>
  </si>
  <si>
    <t>Is your most recent hemoglobin A1c (a blood test that shows your average blood sugar over the past 2-3 months) 6.5% or higher?</t>
  </si>
  <si>
    <t>Are you currently pregnant with a viable pregnancy, and are you between 6 weeks and 23 weeks pregnant (not yet at 23 weeks)?</t>
  </si>
  <si>
    <t>CHECK: "viable pregnancy" is not explained</t>
  </si>
  <si>
    <t>Are you pregnant with more than one baby (such as twins or triplets)?</t>
  </si>
  <si>
    <t>Do you have a skin condition, or an allergy or intolerance to medical-grade adhesives, that would stop you from wearing a continuous glucose monitor (CGM, a small sensor taped to your skin that tracks blood sugar)?</t>
  </si>
  <si>
    <t>Major fetal anomaly or two or more minor fetal anomalies</t>
  </si>
  <si>
    <t>Has your doctor found a major problem with your baby's development (a major fetal anomaly), or two or more minor problems with your baby's development?</t>
  </si>
  <si>
    <t>NCT05317585</t>
  </si>
  <si>
    <t>Accepts Healthy Volunteers: No · Conditions: Type 2 Diabetes Treated With Insulin, Pregnancy, High Risk</t>
  </si>
  <si>
    <t>2) singleton gestation less than or equal to 14 weeks at initial obstetric visit</t>
  </si>
  <si>
    <t>Are you pregnant with one baby (not twins or more), and were you 14 weeks pregnant or less at your first pregnancy visit?</t>
  </si>
  <si>
    <t>4) receiving prenatal care at UMASS Memorial Health Care (UMMHC) and plans to deliver at UMMHC</t>
  </si>
  <si>
    <t>Are you getting your pregnancy care at UMASS Memorial Health Care (UMMHC), and do you plan to give birth there?</t>
  </si>
  <si>
    <t>1) known diagnosis of type 1 diabetes or gestational diabetes</t>
  </si>
  <si>
    <t>Have you been told you have type 1 diabetes (when the body makes little or no insulin) or gestational diabetes (diabetes that starts during pregnancy)?</t>
  </si>
  <si>
    <t>4) multifetal gestation</t>
  </si>
  <si>
    <t>Are you pregnant with twins or more babies?</t>
  </si>
  <si>
    <t>3) established diagnosis of T2DM by laboratory criteria including hemoglobin A1c ≥6.5%, oral glucose tolerance test ≥200 mg/dL, or fasting plasma glucose ≥126 mg/dL</t>
  </si>
  <si>
    <t>Was your diabetes found with a lab test, such as a hemoglobin A1c (average blood sugar test) of 6.5% or higher, an oral glucose tolerance test (a drink test) of 200 mg/dL or higher, or a fasting blood sugar of 126 mg/dL or higher?</t>
  </si>
  <si>
    <t>2) plan to receive prenatal care or delivery outside of UMMHC</t>
  </si>
  <si>
    <t>Do you plan to get your pregnancy care or give birth somewhere other than UMMHC?</t>
  </si>
  <si>
    <t>singleton gestation less than or equal to 14 weeks at initial obstetric visit</t>
  </si>
  <si>
    <t>Are you currently pregnant with only one baby (a singleton pregnancy)?</t>
  </si>
  <si>
    <t>Were you 14 weeks pregnant or less at your first prenatal visit for this pregnancy?</t>
  </si>
  <si>
    <t>receiving prenatal care at UMASS Memorial Health Care (UMMHC) and plans to deliver at UMMHC</t>
  </si>
  <si>
    <t>Are you getting your prenatal care at UMass Memorial Health Care (UMMHC) and planning to deliver there?</t>
  </si>
  <si>
    <t>known diagnosis of type 1 diabetes or gestational diabetes</t>
  </si>
  <si>
    <t>Have you been diagnosed with type 1 diabetes (an autoimmune condition where the body makes little or no insulin) or gestational diabetes (diabetes that starts during pregnancy)?</t>
  </si>
  <si>
    <t>multifetal gestation</t>
  </si>
  <si>
    <t>Are you currently pregnant with more than one baby (twins, triplets, or more)?</t>
  </si>
  <si>
    <t>NCT06739122</t>
  </si>
  <si>
    <t>Minimum Age: 10 Years · Maximum Age: 17 Years</t>
  </si>
  <si>
    <t>Are you between 10 and 17 years old?</t>
  </si>
  <si>
    <t>Accepts Healthy Volunteers: No · Conditions: Type 2 Diabetes</t>
  </si>
  <si>
    <t>Have Type 2 diabetes treated with diet and exercise and metformin and/or basal insulin.</t>
  </si>
  <si>
    <t>Is your type 2 diabetes treated with diet and exercise and metformin (a common diabetes pill) and/or basal insulin (long-acting insulin)?</t>
  </si>
  <si>
    <t>Metformin and/or basal insulin dose must be stable for at least 8 weeks prior to screening.</t>
  </si>
  <si>
    <t>Has your dose of metformin and/or basal insulin (long-acting insulin) stayed the same for at least 8 weeks?</t>
  </si>
  <si>
    <t>Have a body weight ≥50 kilograms (kg) and Body Mass Index (BMI) of &gt;85th percentile</t>
  </si>
  <si>
    <t>Do you weigh at least 50 kilograms (about 110 pounds)?</t>
  </si>
  <si>
    <t>N</t>
  </si>
  <si>
    <t>missing requirement: still leaves out "BMI above the 85th percentile" (Sonnet split this into two questions and got both)</t>
  </si>
  <si>
    <t>problem</t>
  </si>
  <si>
    <t>Have received treatment with any glucose-lowering agent(s) other than metformin, basal insulin, or dulaglutide within 8 weeks prior to screening</t>
  </si>
  <si>
    <t>In the last 8 weeks, have you taken any medicine to lower blood sugar other than metformin, basal insulin (long-acting insulin), or dulaglutide (a weekly diabetes shot)?</t>
  </si>
  <si>
    <t>After the Type 2 diabetes diagnosis, have a history of diabetic ketoacidosis or hyperosmolar syndrome</t>
  </si>
  <si>
    <t>Since you were told you have type 2 diabetes, have you ever had diabetic ketoacidosis (a serious problem where acids build up in the blood) or hyperosmolar syndrome (a serious problem from very high blood sugar and dehydration)?</t>
  </si>
  <si>
    <t>Have had ≥1 episode of severe hypoglycemia and/or ≥1 episode of hypoglycemic unawareness within the last 6 months</t>
  </si>
  <si>
    <t>In the last 6 months, have you had one or more episodes of severe low blood sugar (needing someone else's help) and/or one or more episodes where your blood sugar dropped low without you feeling any warning signs?</t>
  </si>
  <si>
    <t>Have family or personal history of medullary thyroid carcinoma (MTC) or multiple endocrine neoplasia syndrome type 2 (MEN2)</t>
  </si>
  <si>
    <t>Have you or a family member ever had medullary thyroid carcinoma (a rare kind of thyroid cancer) or MEN2 (multiple endocrine neoplasia syndrome type 2, a rare condition that runs in families and causes tumors in hormone glands)?</t>
  </si>
  <si>
    <t>Have prior chronic, recurrent, or idiopathic pancreatitis, or known gallbladder disease</t>
  </si>
  <si>
    <t>Have you ever had chronic, repeated, or unexplained pancreatitis (swelling of the pancreas), or a known gallbladder problem?</t>
  </si>
  <si>
    <t>Have Type 2 diabetes treated with diet and exercise and metformin and/or basal insulin. Metformin and/or basal insulin dose must be stable for at least 8 weeks prior to screening.</t>
  </si>
  <si>
    <t>Do you take metformin (a diabetes pill) and/or basal insulin (a long-acting insulin shot) to treat your type 2 diabetes, along with diet and exercise, and has your dose been the same for at least 8 weeks before screening?</t>
  </si>
  <si>
    <t>Have a body weight ≥50 kilograms (kg)</t>
  </si>
  <si>
    <t>Do you weigh 50 kilograms (about 110 pounds) or more?</t>
  </si>
  <si>
    <t>Body Mass Index (BMI) of &gt;85th percentile</t>
  </si>
  <si>
    <t>Is your Body Mass Index (BMI, a number based on your height and weight) above the 85th percentile for your age and sex?</t>
  </si>
  <si>
    <t>CHECK: most parents will not know their child's BMI percentile; expect "I don't know"</t>
  </si>
  <si>
    <t>In the past 8 weeks before screening, have you taken any diabetes medicine to lower blood sugar other than metformin, basal insulin, or dulaglutide (a diabetes injection also known as Trulicity)?</t>
  </si>
  <si>
    <t>Since you were diagnosed with type 2 diabetes, have you ever had diabetic ketoacidosis (a dangerous buildup of acids in your blood from very high blood sugar) or hyperosmolar syndrome (a severe complication from extremely high blood sugar)?</t>
  </si>
  <si>
    <t>In the last 6 months, have you had at least one episode of severe low blood sugar (needing help from someone else) or an episode where you couldn't feel your blood sugar getting low?</t>
  </si>
  <si>
    <t>Do you or a member of your family have a history of medullary thyroid carcinoma (MTC, a rare thyroid cancer) or multiple endocrine neoplasia syndrome type 2 (MEN2, a rare inherited condition that causes tumors in hormone glands)?</t>
  </si>
  <si>
    <t>Have you ever had long-term, repeated, or unexplained pancreatitis (inflammation of the pancreas), or do you have known gallbladder disease?</t>
  </si>
  <si>
    <t>NCT07554443</t>
  </si>
  <si>
    <t>Minimum Age: 60 Years</t>
  </si>
  <si>
    <t>Are you 60 years old or older?</t>
  </si>
  <si>
    <t>Accepts Healthy Volunteers: No · Conditions: Peripheral Neuropathy With Type 2 Diabetes, Peripheral Neuropathy Grade 2 or Greater, Balance, Balance Impairment, Gait Disorders, Fatigue, Balance Disorders, Physical Activities</t>
  </si>
  <si>
    <t>Have a diagnosis of PN with plantar sensory loss</t>
  </si>
  <si>
    <t>Have you been told you have peripheral neuropathy (nerve damage in the feet and legs) with loss of feeling in the soles of your feet?</t>
  </si>
  <si>
    <t>Be able to walk independently for at least 6 minutes without the use of an assistive device (rest breaks permitted)</t>
  </si>
  <si>
    <t>Can you walk on your own for at least 6 minutes without a walking aid (such as a cane or walker)? Rest breaks are allowed.</t>
  </si>
  <si>
    <t>Demonstrate balance impairment, defined as a Single-Leg Stance time of &lt;23 seconds</t>
  </si>
  <si>
    <t>Can you stand on one leg for 23 seconds or more?</t>
  </si>
  <si>
    <t>Weight of more than 300 pounds</t>
  </si>
  <si>
    <t>Do you weigh more than 300 pounds?</t>
  </si>
  <si>
    <t>Self-reported acute thrombophlebitis, including deep vein thrombosis</t>
  </si>
  <si>
    <t>Do you have acute (sudden and recent) thrombophlebitis (a swollen, inflamed vein caused by a blood clot), including deep vein thrombosis (a blood clot in a deep vein, usually in the leg)?</t>
  </si>
  <si>
    <t>Self-reported severe peripheral vascular disease</t>
  </si>
  <si>
    <t>Do you have severe peripheral vascular disease (badly narrowed or blocked blood vessels, usually in the legs)?</t>
  </si>
  <si>
    <t>Other neurological or musculoskeletal conditions that moderately or severely impact walking</t>
  </si>
  <si>
    <t>Do you have another nerve condition or bone, joint, or muscle condition that makes walking moderately or severely harder for you?</t>
  </si>
  <si>
    <t>Untreated lesion of any kind, swelling, infection, inflamed area of skin or eruptions on the lower leg near product use</t>
  </si>
  <si>
    <t>Do you have an untreated sore, swelling, infection, inflamed skin, or rash on your lower leg?</t>
  </si>
  <si>
    <t>Have you been diagnosed with peripheral neuropathy (nerve damage) with loss of feeling on the bottoms of your feet (plantar sensory loss)?</t>
  </si>
  <si>
    <t>Can you stand on one leg for 23 seconds or longer?</t>
  </si>
  <si>
    <t>Can you walk on your own for at least 6 minutes without using a cane, walker, or other assistive device (short rest breaks are allowed)?</t>
  </si>
  <si>
    <t>Do you weigh 300 pounds or less?</t>
  </si>
  <si>
    <t>Have you had acute thrombophlebitis (inflammation of a vein with a blood clot) or deep vein thrombosis (DVT, a blood clot deep in the leg)?</t>
  </si>
  <si>
    <t>dropped qualifier: "acute" is attached to thrombophlebitis but not to deep vein thrombosis, and "Have you had" is past tense. Someone with a DVT years ago would answer yes</t>
  </si>
  <si>
    <t>Do you have severe peripheral vascular disease (poor blood flow in your legs)?</t>
  </si>
  <si>
    <t>Do you have an untreated skin problem on your lower leg where the device would be worn, such as an open sore, swelling, infection, inflamed skin, or skin eruption?</t>
  </si>
  <si>
    <t>Self-reported, untreated fractures in the foot and ankle</t>
  </si>
  <si>
    <t>Do you have an untreated fracture in your foot or ankle?</t>
  </si>
  <si>
    <t>NCT07527650</t>
  </si>
  <si>
    <t>Minimum Age: 18 Years · Maximum Age: 75 Years</t>
  </si>
  <si>
    <t>Are you between 18 and 75 years old?</t>
  </si>
  <si>
    <t>Accepts Healthy Volunteers: No · Conditions: Type 2 Diabetes Mellitus, T2DM</t>
  </si>
  <si>
    <t>Diagnosed with type 2 diabetes mellitus (T2DM) with HbA1c ≥7.0% and ≤10.0% at screening</t>
  </si>
  <si>
    <t>Was your most recent HbA1c (a blood test that shows your average blood sugar over about 3 months) between 7.0% and 10.0%?</t>
  </si>
  <si>
    <t>Treated with diet and exercise alone or on a stable dose of metformin (≥1000 mg/day) for at least 3 months prior to screening</t>
  </si>
  <si>
    <t>For at least the past 3 months, have you managed your diabetes with diet and exercise alone, or with a steady dose of metformin (a common diabetes pill) of 1000 mg a day or more?</t>
  </si>
  <si>
    <t>BMI ≥25 kg/m² and ≤50 kg/m²</t>
  </si>
  <si>
    <t>Is your BMI (body mass index, a number based on your height and weight) between 25 and 50 kg/m²?</t>
  </si>
  <si>
    <t>Body weight change &lt;5% over the past 3 months prior to screening</t>
  </si>
  <si>
    <t>Has your body weight stayed within 5% of what it was 3 months ago (less than a 5% change up or down)?</t>
  </si>
  <si>
    <t>Type 1 diabetes mellitus or use of glucose-lowering medications other than metformin within 3 months prior to screening</t>
  </si>
  <si>
    <t>In the past 3 months, have you used any blood sugar lowering medicine other than metformin (for example insulin or other diabetes pills or shots)?</t>
  </si>
  <si>
    <t>missing requirement (minor): leaves out the type 1 diabetes part of this criterion</t>
  </si>
  <si>
    <t>History of diabetic ketoacidosis or severe hypoglycemia within 6 months</t>
  </si>
  <si>
    <t>In the past 6 months, have you had diabetic ketoacidosis (a serious problem with very high blood sugar and acid in the blood) or severe low blood sugar that needed someone else's help?</t>
  </si>
  <si>
    <t>Personal or family history of medullary thyroid carcinoma (MTC) or multiple endocrine neoplasia type 2</t>
  </si>
  <si>
    <t>Have you or a close family member ever had medullary thyroid carcinoma (a rare type of thyroid cancer) or multiple endocrine neoplasia type 2 (a rare inherited condition that causes tumors in hormone glands)?</t>
  </si>
  <si>
    <t>changed meaning (minor): adds "close" family member; the original says any family history</t>
  </si>
  <si>
    <t>Clinically significant cardiovascular disease (e.g., NYHA class III/IV heart failure, recent myocardial infarction, stroke, or revascularization within 3 months)</t>
  </si>
  <si>
    <t>Do you have serious heart or blood vessel disease, such as severe heart failure that limits your daily activity, or a heart attack, stroke, or heart or artery procedure to restore blood flow in the past 3 months?</t>
  </si>
  <si>
    <t>Was your most recent HbA1c (a blood test showing average blood sugar over 2-3 months) between 7.0% and 10.0%?</t>
  </si>
  <si>
    <t>Have you managed your diabetes with diet and exercise alone, OR taken a steady dose of metformin (a diabetes pill) of at least 1000 mg per day for at least 3 months?</t>
  </si>
  <si>
    <t>Is your body mass index (BMI, a measure of body weight relative to height) between 25 and 50 kg/m²?</t>
  </si>
  <si>
    <t>Has your body weight changed by less than 5% over the past 3 months?</t>
  </si>
  <si>
    <t>Do you have type 1 diabetes, or have you used any glucose-lowering medicine other than metformin (such as insulin, sulfonylureas, or GLP-1 drugs) in the past 3 months?</t>
  </si>
  <si>
    <t>In the past 6 months, have you had diabetic ketoacidosis (a serious buildup of acids in the blood from very high blood sugar) or a severe episode of low blood sugar?</t>
  </si>
  <si>
    <t>Do you have serious heart problems, such as advanced heart failure, a recent heart attack, a recent stroke, or a recent heart procedure to open blocked arteries (within the last 3 months)?</t>
  </si>
  <si>
    <t>Clinically significant liver disease, renal impairment (eGFR &lt;60 mL/min/1.73 m²), or abnormal laboratory findings at screening</t>
  </si>
  <si>
    <t>Do you have kidney disease with an eGFR (a measure of kidney function) below 60, or a significant liver disease?</t>
  </si>
  <si>
    <t>NCT05322213</t>
  </si>
  <si>
    <t>Minimum Age: 21 Years · Maximum Age: 70 Years</t>
  </si>
  <si>
    <t>Are you between 21 and 70 years old?</t>
  </si>
  <si>
    <t>Have a clinical diagnosis of Type 2 Diabetes on a stable medication regimen for at least 3 months.</t>
  </si>
  <si>
    <t>Have you been on the same diabetes medicines, without changes, for at least 3 months?</t>
  </si>
  <si>
    <t>BMI &gt; 25 kg/m2).</t>
  </si>
  <si>
    <t>Is your BMI (body mass index, a number based on your height and weight) more than 25?</t>
  </si>
  <si>
    <t>HbA1c &lt; 10%).</t>
  </si>
  <si>
    <t>Was your last HbA1c (a blood test that shows your average blood sugar over about 3 months) less than 10%?</t>
  </si>
  <si>
    <t>Current use of insulin to treat Type 2 Diabetes.</t>
  </si>
  <si>
    <t>Do you now use insulin (a medicine you inject or pump to lower blood sugar) to treat your type 2 diabetes?</t>
  </si>
  <si>
    <t>Use of any THC containing products within 30 days prior to the screening visit.</t>
  </si>
  <si>
    <t>In the 30 days before your screening visit, did you use any product containing THC (the active ingredient in cannabis or marijuana)?</t>
  </si>
  <si>
    <t>Current use of tobacco products.</t>
  </si>
  <si>
    <t>Do you currently use tobacco products (such as cigarettes, cigars, or chewing tobacco)?</t>
  </si>
  <si>
    <t>Individuals who are pregnant or lactating/breastfeeding.</t>
  </si>
  <si>
    <t>Are you pregnant or breastfeeding?</t>
  </si>
  <si>
    <t>History of seizures, head trauma, or other history of CNS insult that could predispose the participant to seizures.</t>
  </si>
  <si>
    <t>Have you ever had seizures, a head injury, or another injury to your brain or spinal cord that could make seizures more likely?</t>
  </si>
  <si>
    <t>Have you been on a stable medicine plan for your type 2 diabetes for at least 3 months?</t>
  </si>
  <si>
    <t>Is your BMI (body mass index, a measure of weight relative to height) more than 25 kg/m2?</t>
  </si>
  <si>
    <t>Is your HbA1c (a blood test showing your average blood sugar over the past 3 months) less than 10%?</t>
  </si>
  <si>
    <t>Do you currently use insulin to treat your type 2 diabetes?</t>
  </si>
  <si>
    <t>Have you used any products containing THC (tetrahydrocannabinol, the main active chemical in cannabis or marijuana) in the past 30 days?</t>
  </si>
  <si>
    <t>Are you currently pregnant or breastfeeding (lactating)?</t>
  </si>
  <si>
    <t>Do you have a history of seizures, head injury, or other brain or nervous system injury that could make you more likely to have a seizure?</t>
  </si>
  <si>
    <t>NCT06884059</t>
  </si>
  <si>
    <t>Accepts Healthy Volunteers: No · Conditions: Type 2 Diabetes Mellitus (T2DM), Time Restricted Eating, Microalbuminuria</t>
  </si>
  <si>
    <t>Participants with T2DM with A1c between 6.5 and 9.0 % and on stable doses of medications who are weight-bearing and self-ambulatory.</t>
  </si>
  <si>
    <t>Is your A1c (a blood test that shows your average blood sugar over about 3 months) between 6.5% and 9.0%?</t>
  </si>
  <si>
    <t>missing requirement: still leaves out "stable doses of medications" and being able to walk on your own</t>
  </si>
  <si>
    <t>Participants with Type1DM and T2DM who are taking insulin, sulfonylureas, or have an HbA1c &gt; 9 %.</t>
  </si>
  <si>
    <t>Do you take insulin or a sulfonylurea (a diabetes pill such as glipizide, glyburide, or glimepiride that makes your body release more insulin)?</t>
  </si>
  <si>
    <t>uACR ( urine albumin creatinine ratio) results ≥ 30 - 300 mg.</t>
  </si>
  <si>
    <t>Has a urine test shown a uACR (urine albumin creatinine ratio, a test for protein in your urine) of 30 to 300 mg?</t>
  </si>
  <si>
    <t>Baseline eating period ≥12 hours/day and sufficient logging on the mCC app.</t>
  </si>
  <si>
    <t>On most days, do you eat your food over a period of 12 hours or more (from your first bite to your last)?</t>
  </si>
  <si>
    <t>Pregnant or breastfeeding individuals.</t>
  </si>
  <si>
    <t>Active tobacco or illicit drug use</t>
  </si>
  <si>
    <t>Do you currently use tobacco or illicit drugs (street drugs)?</t>
  </si>
  <si>
    <t>Currently enrolled in a weight-loss or weight-management program,</t>
  </si>
  <si>
    <t>Are you currently taking part in a weight-loss or weight-management program?</t>
  </si>
  <si>
    <t>History of eating disorder(s).</t>
  </si>
  <si>
    <t>Have you ever had an eating disorder (such as anorexia, bulimia, or binge eating)?</t>
  </si>
  <si>
    <t>Is your A1c (a blood test that shows your average blood sugar level over the past 3 months) between 6.5% and 9.0%?</t>
  </si>
  <si>
    <t>Has a urine test shown a uACR (urine albumin creatinine ratio, a test that checks for protein leaking into your urine) between 30 and 300 mg?</t>
  </si>
  <si>
    <t>Do you take insulin, a sulfonylurea (a type of diabetes pill that helps your body release more insulin), or have you been told your A1c is above 9%?</t>
  </si>
  <si>
    <t>Systolic BP greater than 160 mmHg and/or Diastolic BP greater than 110 mmHg (with or without treatment/medication)</t>
  </si>
  <si>
    <t>Has your blood pressure been higher than 160/110 mmHg (systolic over 160 or diastolic over 110), even with treatment?</t>
  </si>
  <si>
    <t>changed meaning: original is "with or without treatment"; "even with treatment" reads as "despite treatment." Also no time frame</t>
  </si>
  <si>
    <t>On recently prescribed medication that is meant for weight loss, or has known effect on appetite suppression ( patient on stable dose for 3 months can be enrolled ).</t>
  </si>
  <si>
    <t>Are you currently enrolled in a weight-loss or weight-management program, or taking a medicine that was recently prescribed for weight loss or to reduce appetite (not counting a stable dose you have taken for at least 3 months)?</t>
  </si>
  <si>
    <t>combined criteria: the weight-loss program part is a different criterion (#8) that is NOT in the original text shown. Also very long</t>
  </si>
  <si>
    <t>Have you ever had an eating disorder, or had surgery for weight management?</t>
  </si>
  <si>
    <t>combined criteria: "surgery for weight management" comes from a different criterion (#12) that is NOT in the original text shown</t>
  </si>
  <si>
    <t>Do you currently smoke, use tobacco, or use illegal drugs?</t>
  </si>
  <si>
    <t>NCT07724340</t>
  </si>
  <si>
    <t>Accepts Healthy Volunteers: No · Conditions: Adults With Overweight/Obesity and Type 2 Diabetes</t>
  </si>
  <si>
    <t>BMI g ≥27.0 kg/m2 at screening.</t>
  </si>
  <si>
    <t>Is your BMI (body mass index, a measure of weight compared to height) 27.0 or higher?</t>
  </si>
  <si>
    <t>HbA1c ≥7 and ≤10% (53-86 mmol/mol) at screening.</t>
  </si>
  <si>
    <t>Was your last HbA1c (a blood test showing your average blood sugar over about 3 months) between 7% and 10%?</t>
  </si>
  <si>
    <t>Diagnosis of type 2 diabetes mellitus for ≥ 180 days prior to screening.</t>
  </si>
  <si>
    <t>Were you told you have type 2 diabetes at least 180 days (about 6 months) ago?</t>
  </si>
  <si>
    <t>Either treated with diet and exercise alone or on stable (at least 90 days prior to screening) treatment with metformin, a sodium-glucose cotransporter 2 (SGLT2) inhibitor, sulfonylurea, and/or DPP4 inhibitor as monotherapy or combination therapy, per approved local label.</t>
  </si>
  <si>
    <t>Do you manage your diabetes with diet and exercise alone, or have you been on the same dose for at least 90 days of metformin (a common diabetes pill), an SGLT2 inhibitor (a diabetes pill that makes you pass extra sugar in your urine), a sulfonylurea (a diabetes pill that makes your body release more insulin), and/or a DPP4 inhibitor (another type of diabetes pill), alone or together?</t>
  </si>
  <si>
    <t>confusing: too long; four drug types in one question (reading grade 30)</t>
  </si>
  <si>
    <t>Participant is currently using insulin or used insulin within 3 months before screening.</t>
  </si>
  <si>
    <t>Are you using insulin now, or have you used insulin in the last 3 months?</t>
  </si>
  <si>
    <t>Participant is currently using or used within 6 months before screening any medication that contains a GLP-1R agonist component or a GIPR modulator (either by prescription or as part of a clinical study)</t>
  </si>
  <si>
    <t>In the last 6 months, have you used any medicine containing a GLP-1 receptor agonist (such as semaglutide, liraglutide, or dulaglutide) or a GIPR modulator (such as tirzepatide)?</t>
  </si>
  <si>
    <t>Participant is currently using or used within 3 months before screening any weight reducing medication including pramlintide, sibutramine, orlistat, zonisamide, topiramate, phentermine, naltrexone, bupropion.</t>
  </si>
  <si>
    <t>Are you using now, or have you used in the last 3 months, any weight loss medicine such as pramlintide, sibutramine, orlistat, zonisamide, topiramate, phentermine, naltrexone, or bupropion?</t>
  </si>
  <si>
    <t>Participant has had a self-reported or medically recorded change in body weight &gt; 5% within 3 months of screening OR has recorded change in body weight &gt;3% between screening and randomization.</t>
  </si>
  <si>
    <t>Has your body weight changed by more than 5% in the last 3 months?</t>
  </si>
  <si>
    <t>Is your HbA1c (a blood test that shows your average blood sugar over about 3 months) between 7% and 10% (53-86 mmol/mol)?</t>
  </si>
  <si>
    <t>Is your BMI (body mass index, a measure of weight compared to height) 27.0 kg/m2 or higher?</t>
  </si>
  <si>
    <t>Have you had type 2 diabetes for at least 180 days (about 6 months)?</t>
  </si>
  <si>
    <t>Are you currently managing your diabetes with diet and exercise alone, or have you been on a stable dose of metformin, an SGLT2 inhibitor (a diabetes pill that makes your body pass extra sugar in your urine), a sulfonylurea, and/or a DPP4 inhibitor for at least 90 days?</t>
  </si>
  <si>
    <t>confusing: long; "sulfonylurea" and "DPP4 inhibitor" are not explained</t>
  </si>
  <si>
    <t>Are you currently using insulin, or have you used insulin within the last 3 months?</t>
  </si>
  <si>
    <t>Are you currently using, or have you used within the last 6 months, any medicine that contains a GLP-1 receptor agonist (a type of diabetes or weight-loss medicine, such as semaglutide or liraglutide) or a GIP receptor modulator (a related type of medicine that affects blood sugar and appetite)?</t>
  </si>
  <si>
    <t>Participant has had gastric bypass or other bariatric surgery or endoscopic procedure or any metabolic procedures (e.g. duodenal resurfacing, intragastric balloon, etc.) except for the following:</t>
  </si>
  <si>
    <t>Have you ever had gastric bypass or other weight-loss (bariatric) surgery, an endoscopic weight-loss procedure, or a metabolic procedure such as duodenal resurfacing or an intragastric balloon?</t>
  </si>
  <si>
    <t>dropped qualifier: the original ends "except for the following:" and lists 4 exceptions (e.g., a gastric band removed over 1 year ago). The question leaves them out, so those people are wrongly ruled out</t>
  </si>
  <si>
    <t>Non-lactating and has a negative pregnancy test at screening and baseline</t>
  </si>
  <si>
    <t>Are you currently pregnant or breastfeeding?</t>
  </si>
  <si>
    <t>How to review version 2</t>
  </si>
  <si>
    <t>Same as last time: Claude graded every question. You check the shaded rows.</t>
  </si>
  <si>
    <t>RED rows (12): Claude found a problem. Read original_text, ai_question and the note. Type Y or N in the yellow 'Rohan agrees?' column.</t>
  </si>
  <si>
    <t>ORANGE rows (4): the grades are fine, but something is worth a quick look. Type Y if you agree it's OK, N if you think it's a problem.</t>
  </si>
  <si>
    <t>Unshaded rows: Claude found no problems. Optional: spot-check a few.</t>
  </si>
  <si>
    <t>New in version 2: rows marked 'study listing (no AI)' were made by code from the trial's age, sex and conditions fields - no AI involved.</t>
  </si>
  <si>
    <t>The 'Summary' tab compares version 1 and version 2.</t>
  </si>
  <si>
    <t>Version 1 numbers include 2 corrections Claude found while grading version 2 (the bariatric-surgery exceptions). See the corrected v1 file.</t>
  </si>
  <si>
    <t>For your write-up: grades are an AI-assisted first pass, reviewed by a human (you).</t>
  </si>
  <si>
    <t>Version 2 (this file)</t>
  </si>
  <si>
    <t>Questions graded</t>
  </si>
  <si>
    <t>Questions with any N</t>
  </si>
  <si>
    <t>% fully correct</t>
  </si>
  <si>
    <t>Accurate = N</t>
  </si>
  <si>
    <t>Easy to understand = N</t>
  </si>
  <si>
    <t>Counts against = N</t>
  </si>
  <si>
    <t>Dropped qualifier</t>
  </si>
  <si>
    <t>Missing requirement</t>
  </si>
  <si>
    <t>Changed meaning</t>
  </si>
  <si>
    <t>Combined criteria (new error type)</t>
  </si>
  <si>
    <t>Confusing</t>
  </si>
  <si>
    <t>Avg reading grade: original</t>
  </si>
  <si>
    <t>Avg reading grade: question</t>
  </si>
  <si>
    <t>Rows you reviewed</t>
  </si>
  <si>
    <t>Rows you disagreed with</t>
  </si>
  <si>
    <t>Version 1 vs version 2 (AI questions only)</t>
  </si>
  <si>
    <t>v1 fully correct</t>
  </si>
  <si>
    <t>v1 questions</t>
  </si>
  <si>
    <t>v2 fully correct</t>
  </si>
  <si>
    <t>v2 questions</t>
  </si>
  <si>
    <t>v1 values (blue) come from TrialFinder_step1_grades_corrected.xlsx: Opus 83 of 100, Sonnet 70 of 77 fully correct, after 2 corrections.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</si>
</sst>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charset val="1"/>
    </font>
    <font>
      <sz val="10"/>
      <name val="Arial"/>
      <family val="2"/>
    </font>
    <font>
      <b/>
      <sz val="11"/>
      <color rgb="FFFFFFFF"/>
      <name val="Arial"/>
      <family val="2"/>
    </font>
    <font>
      <sz val="10"/>
      <name val="Arial"/>
      <family val="2"/>
    </font>
    <font>
      <b/>
      <sz val="13"/>
      <name val="Arial"/>
      <family val="2"/>
    </font>
    <font>
      <sz val="11"/>
      <name val="Arial"/>
      <family val="2"/>
    </font>
    <font>
      <b/>
      <sz val="11"/>
      <name val="Arial"/>
      <family val="2"/>
    </font>
    <font>
      <sz val="11"/>
      <color rgb="FF0000FF"/>
      <name val="Arial"/>
      <family val="2"/>
    </font>
    <font>
      <i/>
      <sz val="9"/>
      <name val="Arial"/>
      <family val="2"/>
    </font>
  </fonts>
  <fills count="6">
    <fill>
      <patternFill patternType="none"/>
    </fill>
    <fill>
      <patternFill patternType="gray125"/>
    </fill>
    <fill>
      <patternFill patternType="solid">
        <fgColor rgb="FF1F3A5F"/>
        <bgColor rgb="FF333333"/>
      </patternFill>
    </fill>
    <fill>
      <patternFill patternType="solid">
        <fgColor rgb="FFFFF7CC"/>
        <bgColor rgb="FFFFE9CC"/>
      </patternFill>
    </fill>
    <fill>
      <patternFill patternType="solid">
        <fgColor rgb="FFFFE9CC"/>
        <bgColor rgb="FFFDE2E1"/>
      </patternFill>
    </fill>
    <fill>
      <patternFill patternType="solid">
        <fgColor rgb="FFFDE2E1"/>
        <bgColor rgb="FFFFE9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9">
    <xf numFmtId="0" fontId="0" fillId="0" borderId="0" xfId="0"/>
    <xf numFmtId="0" fontId="2" fillId="2" borderId="1" xfId="0" applyFont="1" applyFill="1" applyBorder="1" applyAlignment="1">
      <alignment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2" fillId="2" borderId="0" xfId="0" applyFont="1" applyFill="1" applyAlignment="1">
      <alignment wrapText="1"/>
    </xf>
    <xf numFmtId="0" fontId="5" fillId="0" borderId="0" xfId="0" applyFont="1"/>
    <xf numFmtId="164" fontId="5" fillId="0" borderId="0" xfId="0" applyNumberFormat="1" applyFont="1"/>
    <xf numFmtId="165" fontId="5" fillId="0" borderId="0" xfId="0" applyNumberFormat="1" applyFont="1"/>
    <xf numFmtId="0" fontId="6" fillId="0" borderId="0" xfId="0" applyFont="1"/>
    <xf numFmtId="164" fontId="7" fillId="0" borderId="0" xfId="0" applyNumberFormat="1" applyFont="1"/>
    <xf numFmtId="0" fontId="7" fillId="0" borderId="0" xfId="0" applyFont="1"/>
    <xf numFmtId="164" fontId="0" fillId="0" borderId="0" xfId="0" applyNumberFormat="1"/>
    <xf numFmtId="0" fontId="8" fillId="0" borderId="0" xfId="0" applyFont="1"/>
    <xf numFmtId="0" fontId="1"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E9CC"/>
      <rgbColor rgb="FF99CCFF"/>
      <rgbColor rgb="FFFF99CC"/>
      <rgbColor rgb="FFCC99FF"/>
      <rgbColor rgb="FFFDE2E1"/>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0"/>
  <sheetViews>
    <sheetView tabSelected="1" topLeftCell="E1" zoomScaleNormal="100" workbookViewId="0">
      <pane ySplit="1" topLeftCell="A153" activePane="bottomLeft" state="frozen"/>
      <selection pane="bottomLeft" activeCell="P163" sqref="P163"/>
    </sheetView>
  </sheetViews>
  <sheetFormatPr baseColWidth="10" defaultColWidth="8.6640625" defaultRowHeight="15" x14ac:dyDescent="0.2"/>
  <cols>
    <col min="1" max="1" width="13" customWidth="1"/>
    <col min="2" max="2" width="15" customWidth="1"/>
    <col min="3" max="3" width="9" customWidth="1"/>
    <col min="4" max="4" width="11" customWidth="1"/>
    <col min="5" max="6" width="50" customWidth="1"/>
    <col min="7" max="7" width="12" customWidth="1"/>
    <col min="8" max="10" width="10" customWidth="1"/>
    <col min="11" max="12" width="11" customWidth="1"/>
    <col min="13" max="13" width="13" customWidth="1"/>
    <col min="14" max="14" width="55" customWidth="1"/>
    <col min="15" max="15" width="10" customWidth="1"/>
    <col min="16" max="16" width="11" customWidth="1"/>
    <col min="17" max="17" width="12" customWidth="1"/>
    <col min="18" max="18" width="35" customWidth="1"/>
  </cols>
  <sheetData>
    <row r="1" spans="1:18" ht="4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 x14ac:dyDescent="0.2">
      <c r="A2" s="2" t="s">
        <v>18</v>
      </c>
      <c r="B2" s="2" t="s">
        <v>19</v>
      </c>
      <c r="C2" s="2">
        <v>1</v>
      </c>
      <c r="D2" s="2" t="s">
        <v>20</v>
      </c>
      <c r="E2" s="2" t="s">
        <v>21</v>
      </c>
      <c r="F2" s="2" t="s">
        <v>22</v>
      </c>
      <c r="G2" s="2" t="s">
        <v>23</v>
      </c>
      <c r="H2" s="2" t="s">
        <v>23</v>
      </c>
      <c r="I2" s="2">
        <v>5.2</v>
      </c>
      <c r="J2" s="2">
        <v>0.8</v>
      </c>
      <c r="K2" s="2" t="s">
        <v>24</v>
      </c>
      <c r="L2" s="2" t="s">
        <v>24</v>
      </c>
      <c r="M2" s="2" t="s">
        <v>24</v>
      </c>
      <c r="N2" s="2"/>
      <c r="O2" s="2"/>
      <c r="P2" s="2" t="s">
        <v>25</v>
      </c>
      <c r="Q2" s="3"/>
      <c r="R2" s="3"/>
    </row>
    <row r="3" spans="1:18" ht="28" x14ac:dyDescent="0.2">
      <c r="A3" s="2" t="s">
        <v>18</v>
      </c>
      <c r="B3" s="2" t="s">
        <v>26</v>
      </c>
      <c r="C3" s="2">
        <v>2</v>
      </c>
      <c r="D3" s="2" t="s">
        <v>20</v>
      </c>
      <c r="E3" s="2" t="s">
        <v>27</v>
      </c>
      <c r="F3" s="2" t="s">
        <v>28</v>
      </c>
      <c r="G3" s="2" t="s">
        <v>23</v>
      </c>
      <c r="H3" s="2" t="s">
        <v>23</v>
      </c>
      <c r="I3" s="2">
        <v>15.8</v>
      </c>
      <c r="J3" s="2">
        <v>11.9</v>
      </c>
      <c r="K3" s="2" t="s">
        <v>24</v>
      </c>
      <c r="L3" s="2" t="s">
        <v>24</v>
      </c>
      <c r="M3" s="2" t="s">
        <v>24</v>
      </c>
      <c r="N3" s="2"/>
      <c r="O3" s="2"/>
      <c r="P3" s="2" t="s">
        <v>25</v>
      </c>
      <c r="Q3" s="3"/>
      <c r="R3" s="3"/>
    </row>
    <row r="4" spans="1:18" ht="28" x14ac:dyDescent="0.2">
      <c r="A4" s="2" t="s">
        <v>18</v>
      </c>
      <c r="B4" s="2" t="s">
        <v>26</v>
      </c>
      <c r="C4" s="2">
        <v>3</v>
      </c>
      <c r="D4" s="2" t="s">
        <v>20</v>
      </c>
      <c r="E4" s="2" t="s">
        <v>29</v>
      </c>
      <c r="F4" s="2" t="s">
        <v>30</v>
      </c>
      <c r="G4" s="2" t="s">
        <v>23</v>
      </c>
      <c r="H4" s="2" t="s">
        <v>23</v>
      </c>
      <c r="I4" s="2">
        <v>6.6</v>
      </c>
      <c r="J4" s="2">
        <v>2.6</v>
      </c>
      <c r="K4" s="2" t="s">
        <v>24</v>
      </c>
      <c r="L4" s="2" t="s">
        <v>24</v>
      </c>
      <c r="M4" s="2" t="s">
        <v>24</v>
      </c>
      <c r="N4" s="2"/>
      <c r="O4" s="2"/>
      <c r="P4" s="2" t="s">
        <v>25</v>
      </c>
      <c r="Q4" s="3"/>
      <c r="R4" s="3"/>
    </row>
    <row r="5" spans="1:18" ht="42" x14ac:dyDescent="0.2">
      <c r="A5" s="4" t="s">
        <v>18</v>
      </c>
      <c r="B5" s="4" t="s">
        <v>26</v>
      </c>
      <c r="C5" s="4">
        <v>4</v>
      </c>
      <c r="D5" s="4" t="s">
        <v>31</v>
      </c>
      <c r="E5" s="4" t="s">
        <v>32</v>
      </c>
      <c r="F5" s="4" t="s">
        <v>33</v>
      </c>
      <c r="G5" s="4" t="s">
        <v>34</v>
      </c>
      <c r="H5" s="4" t="s">
        <v>23</v>
      </c>
      <c r="I5" s="4">
        <v>15.6</v>
      </c>
      <c r="J5" s="4">
        <v>10.5</v>
      </c>
      <c r="K5" s="4" t="s">
        <v>24</v>
      </c>
      <c r="L5" s="4" t="s">
        <v>24</v>
      </c>
      <c r="M5" s="4" t="s">
        <v>24</v>
      </c>
      <c r="N5" s="4" t="s">
        <v>35</v>
      </c>
      <c r="O5" s="4" t="s">
        <v>36</v>
      </c>
      <c r="P5" s="4" t="s">
        <v>25</v>
      </c>
      <c r="Q5" s="18" t="s">
        <v>24</v>
      </c>
      <c r="R5" s="3"/>
    </row>
    <row r="6" spans="1:18" ht="42" x14ac:dyDescent="0.2">
      <c r="A6" s="2" t="s">
        <v>18</v>
      </c>
      <c r="B6" s="2" t="s">
        <v>26</v>
      </c>
      <c r="C6" s="2">
        <v>5</v>
      </c>
      <c r="D6" s="2" t="s">
        <v>20</v>
      </c>
      <c r="E6" s="2" t="s">
        <v>37</v>
      </c>
      <c r="F6" s="2" t="s">
        <v>38</v>
      </c>
      <c r="G6" s="2" t="s">
        <v>23</v>
      </c>
      <c r="H6" s="2" t="s">
        <v>23</v>
      </c>
      <c r="I6" s="2">
        <v>7.6</v>
      </c>
      <c r="J6" s="2">
        <v>15.4</v>
      </c>
      <c r="K6" s="2" t="s">
        <v>24</v>
      </c>
      <c r="L6" s="2" t="s">
        <v>24</v>
      </c>
      <c r="M6" s="2" t="s">
        <v>24</v>
      </c>
      <c r="N6" s="2"/>
      <c r="O6" s="2"/>
      <c r="P6" s="2" t="s">
        <v>25</v>
      </c>
      <c r="Q6" s="3"/>
      <c r="R6" s="3"/>
    </row>
    <row r="7" spans="1:18" ht="28" x14ac:dyDescent="0.2">
      <c r="A7" s="2" t="s">
        <v>18</v>
      </c>
      <c r="B7" s="2" t="s">
        <v>39</v>
      </c>
      <c r="C7" s="2">
        <v>2</v>
      </c>
      <c r="D7" s="2" t="s">
        <v>20</v>
      </c>
      <c r="E7" s="2" t="s">
        <v>37</v>
      </c>
      <c r="F7" s="2" t="s">
        <v>40</v>
      </c>
      <c r="G7" s="2" t="s">
        <v>23</v>
      </c>
      <c r="H7" s="2" t="s">
        <v>23</v>
      </c>
      <c r="I7" s="2">
        <v>7.6</v>
      </c>
      <c r="J7" s="2">
        <v>14.6</v>
      </c>
      <c r="K7" s="2" t="s">
        <v>24</v>
      </c>
      <c r="L7" s="2" t="s">
        <v>24</v>
      </c>
      <c r="M7" s="2" t="s">
        <v>24</v>
      </c>
      <c r="N7" s="2"/>
      <c r="O7" s="2"/>
      <c r="P7" s="2" t="s">
        <v>25</v>
      </c>
      <c r="Q7" s="3"/>
      <c r="R7" s="3"/>
    </row>
    <row r="8" spans="1:18" ht="28" x14ac:dyDescent="0.2">
      <c r="A8" s="2" t="s">
        <v>18</v>
      </c>
      <c r="B8" s="2" t="s">
        <v>39</v>
      </c>
      <c r="C8" s="2">
        <v>3</v>
      </c>
      <c r="D8" s="2" t="s">
        <v>20</v>
      </c>
      <c r="E8" s="2" t="s">
        <v>27</v>
      </c>
      <c r="F8" s="2" t="s">
        <v>41</v>
      </c>
      <c r="G8" s="2" t="s">
        <v>23</v>
      </c>
      <c r="H8" s="2" t="s">
        <v>23</v>
      </c>
      <c r="I8" s="2">
        <v>15.8</v>
      </c>
      <c r="J8" s="2">
        <v>10.7</v>
      </c>
      <c r="K8" s="2" t="s">
        <v>24</v>
      </c>
      <c r="L8" s="2" t="s">
        <v>24</v>
      </c>
      <c r="M8" s="2" t="s">
        <v>24</v>
      </c>
      <c r="N8" s="2"/>
      <c r="O8" s="2"/>
      <c r="P8" s="2" t="s">
        <v>25</v>
      </c>
      <c r="Q8" s="3"/>
      <c r="R8" s="3"/>
    </row>
    <row r="9" spans="1:18" x14ac:dyDescent="0.2">
      <c r="A9" s="2" t="s">
        <v>18</v>
      </c>
      <c r="B9" s="2" t="s">
        <v>39</v>
      </c>
      <c r="C9" s="2">
        <v>4</v>
      </c>
      <c r="D9" s="2" t="s">
        <v>20</v>
      </c>
      <c r="E9" s="2" t="s">
        <v>29</v>
      </c>
      <c r="F9" s="2" t="s">
        <v>42</v>
      </c>
      <c r="G9" s="2" t="s">
        <v>23</v>
      </c>
      <c r="H9" s="2" t="s">
        <v>23</v>
      </c>
      <c r="I9" s="2">
        <v>6.6</v>
      </c>
      <c r="J9" s="2">
        <v>5.9</v>
      </c>
      <c r="K9" s="2" t="s">
        <v>24</v>
      </c>
      <c r="L9" s="2" t="s">
        <v>24</v>
      </c>
      <c r="M9" s="2" t="s">
        <v>24</v>
      </c>
      <c r="N9" s="2"/>
      <c r="O9" s="2"/>
      <c r="P9" s="2" t="s">
        <v>25</v>
      </c>
      <c r="Q9" s="3"/>
      <c r="R9" s="3"/>
    </row>
    <row r="10" spans="1:18" ht="42" x14ac:dyDescent="0.2">
      <c r="A10" s="2" t="s">
        <v>18</v>
      </c>
      <c r="B10" s="2" t="s">
        <v>39</v>
      </c>
      <c r="C10" s="2">
        <v>5</v>
      </c>
      <c r="D10" s="2" t="s">
        <v>31</v>
      </c>
      <c r="E10" s="2" t="s">
        <v>32</v>
      </c>
      <c r="F10" s="2" t="s">
        <v>43</v>
      </c>
      <c r="G10" s="2" t="s">
        <v>34</v>
      </c>
      <c r="H10" s="2" t="s">
        <v>23</v>
      </c>
      <c r="I10" s="2">
        <v>15.6</v>
      </c>
      <c r="J10" s="2">
        <v>11.2</v>
      </c>
      <c r="K10" s="2" t="s">
        <v>24</v>
      </c>
      <c r="L10" s="2" t="s">
        <v>24</v>
      </c>
      <c r="M10" s="2" t="s">
        <v>24</v>
      </c>
      <c r="N10" s="2"/>
      <c r="O10" s="2"/>
      <c r="P10" s="2" t="s">
        <v>25</v>
      </c>
      <c r="Q10" s="3"/>
      <c r="R10" s="3"/>
    </row>
    <row r="11" spans="1:18" ht="28" x14ac:dyDescent="0.2">
      <c r="A11" s="2" t="s">
        <v>44</v>
      </c>
      <c r="B11" s="2" t="s">
        <v>19</v>
      </c>
      <c r="C11" s="2">
        <v>1</v>
      </c>
      <c r="D11" s="2" t="s">
        <v>20</v>
      </c>
      <c r="E11" s="2" t="s">
        <v>45</v>
      </c>
      <c r="F11" s="2" t="s">
        <v>46</v>
      </c>
      <c r="G11" s="2" t="s">
        <v>23</v>
      </c>
      <c r="H11" s="2" t="s">
        <v>23</v>
      </c>
      <c r="I11" s="2">
        <v>3.7</v>
      </c>
      <c r="J11" s="2">
        <v>0.6</v>
      </c>
      <c r="K11" s="2" t="s">
        <v>24</v>
      </c>
      <c r="L11" s="2" t="s">
        <v>24</v>
      </c>
      <c r="M11" s="2" t="s">
        <v>24</v>
      </c>
      <c r="N11" s="2"/>
      <c r="O11" s="2"/>
      <c r="P11" s="2" t="s">
        <v>25</v>
      </c>
      <c r="Q11" s="3"/>
      <c r="R11" s="3"/>
    </row>
    <row r="12" spans="1:18" ht="42" x14ac:dyDescent="0.2">
      <c r="A12" s="4" t="s">
        <v>44</v>
      </c>
      <c r="B12" s="4" t="s">
        <v>19</v>
      </c>
      <c r="C12" s="4">
        <v>2</v>
      </c>
      <c r="D12" s="4" t="s">
        <v>20</v>
      </c>
      <c r="E12" s="4" t="s">
        <v>47</v>
      </c>
      <c r="F12" s="4" t="s">
        <v>48</v>
      </c>
      <c r="G12" s="4" t="s">
        <v>23</v>
      </c>
      <c r="H12" s="4" t="s">
        <v>23</v>
      </c>
      <c r="I12" s="4">
        <v>19.8</v>
      </c>
      <c r="J12" s="4">
        <v>11.2</v>
      </c>
      <c r="K12" s="4" t="s">
        <v>24</v>
      </c>
      <c r="L12" s="4" t="s">
        <v>24</v>
      </c>
      <c r="M12" s="4" t="s">
        <v>24</v>
      </c>
      <c r="N12" s="4" t="s">
        <v>49</v>
      </c>
      <c r="O12" s="4" t="s">
        <v>36</v>
      </c>
      <c r="P12" s="4" t="s">
        <v>25</v>
      </c>
      <c r="Q12" s="18" t="s">
        <v>24</v>
      </c>
      <c r="R12" s="3"/>
    </row>
    <row r="13" spans="1:18" ht="42" x14ac:dyDescent="0.2">
      <c r="A13" s="2" t="s">
        <v>44</v>
      </c>
      <c r="B13" s="2" t="s">
        <v>26</v>
      </c>
      <c r="C13" s="2">
        <v>3</v>
      </c>
      <c r="D13" s="2" t="s">
        <v>20</v>
      </c>
      <c r="E13" s="2" t="s">
        <v>50</v>
      </c>
      <c r="F13" s="2" t="s">
        <v>51</v>
      </c>
      <c r="G13" s="2" t="s">
        <v>23</v>
      </c>
      <c r="H13" s="2" t="s">
        <v>23</v>
      </c>
      <c r="I13" s="2">
        <v>13.5</v>
      </c>
      <c r="J13" s="2">
        <v>10.4</v>
      </c>
      <c r="K13" s="2" t="s">
        <v>24</v>
      </c>
      <c r="L13" s="2" t="s">
        <v>24</v>
      </c>
      <c r="M13" s="2" t="s">
        <v>24</v>
      </c>
      <c r="N13" s="2"/>
      <c r="O13" s="2"/>
      <c r="P13" s="2" t="s">
        <v>25</v>
      </c>
      <c r="Q13" s="3"/>
      <c r="R13" s="3"/>
    </row>
    <row r="14" spans="1:18" ht="28" x14ac:dyDescent="0.2">
      <c r="A14" s="2" t="s">
        <v>44</v>
      </c>
      <c r="B14" s="2" t="s">
        <v>26</v>
      </c>
      <c r="C14" s="2">
        <v>4</v>
      </c>
      <c r="D14" s="2" t="s">
        <v>20</v>
      </c>
      <c r="E14" s="2" t="s">
        <v>52</v>
      </c>
      <c r="F14" s="2" t="s">
        <v>53</v>
      </c>
      <c r="G14" s="2" t="s">
        <v>23</v>
      </c>
      <c r="H14" s="2" t="s">
        <v>23</v>
      </c>
      <c r="I14" s="2">
        <v>5.2</v>
      </c>
      <c r="J14" s="2">
        <v>2.1</v>
      </c>
      <c r="K14" s="2" t="s">
        <v>24</v>
      </c>
      <c r="L14" s="2" t="s">
        <v>24</v>
      </c>
      <c r="M14" s="2" t="s">
        <v>24</v>
      </c>
      <c r="N14" s="2"/>
      <c r="O14" s="2"/>
      <c r="P14" s="2" t="s">
        <v>25</v>
      </c>
      <c r="Q14" s="3"/>
      <c r="R14" s="3"/>
    </row>
    <row r="15" spans="1:18" ht="28" x14ac:dyDescent="0.2">
      <c r="A15" s="2" t="s">
        <v>44</v>
      </c>
      <c r="B15" s="2" t="s">
        <v>26</v>
      </c>
      <c r="C15" s="2">
        <v>5</v>
      </c>
      <c r="D15" s="2" t="s">
        <v>20</v>
      </c>
      <c r="E15" s="2" t="s">
        <v>54</v>
      </c>
      <c r="F15" s="2" t="s">
        <v>55</v>
      </c>
      <c r="G15" s="2" t="s">
        <v>23</v>
      </c>
      <c r="H15" s="2" t="s">
        <v>23</v>
      </c>
      <c r="I15" s="2">
        <v>24.9</v>
      </c>
      <c r="J15" s="2">
        <v>8.4</v>
      </c>
      <c r="K15" s="2" t="s">
        <v>24</v>
      </c>
      <c r="L15" s="2" t="s">
        <v>24</v>
      </c>
      <c r="M15" s="2" t="s">
        <v>24</v>
      </c>
      <c r="N15" s="2"/>
      <c r="O15" s="2"/>
      <c r="P15" s="2" t="s">
        <v>25</v>
      </c>
      <c r="Q15" s="3"/>
      <c r="R15" s="3"/>
    </row>
    <row r="16" spans="1:18" ht="28" x14ac:dyDescent="0.2">
      <c r="A16" s="2" t="s">
        <v>44</v>
      </c>
      <c r="B16" s="2" t="s">
        <v>26</v>
      </c>
      <c r="C16" s="2">
        <v>6</v>
      </c>
      <c r="D16" s="2" t="s">
        <v>20</v>
      </c>
      <c r="E16" s="2" t="s">
        <v>56</v>
      </c>
      <c r="F16" s="2" t="s">
        <v>57</v>
      </c>
      <c r="G16" s="2" t="s">
        <v>23</v>
      </c>
      <c r="H16" s="2" t="s">
        <v>23</v>
      </c>
      <c r="I16" s="2">
        <v>14.7</v>
      </c>
      <c r="J16" s="2">
        <v>8</v>
      </c>
      <c r="K16" s="2" t="s">
        <v>24</v>
      </c>
      <c r="L16" s="2" t="s">
        <v>24</v>
      </c>
      <c r="M16" s="2" t="s">
        <v>24</v>
      </c>
      <c r="N16" s="2"/>
      <c r="O16" s="2"/>
      <c r="P16" s="2" t="s">
        <v>25</v>
      </c>
      <c r="Q16" s="3"/>
      <c r="R16" s="3"/>
    </row>
    <row r="17" spans="1:18" ht="28" x14ac:dyDescent="0.2">
      <c r="A17" s="2" t="s">
        <v>44</v>
      </c>
      <c r="B17" s="2" t="s">
        <v>26</v>
      </c>
      <c r="C17" s="2">
        <v>7</v>
      </c>
      <c r="D17" s="2" t="s">
        <v>31</v>
      </c>
      <c r="E17" s="2" t="s">
        <v>58</v>
      </c>
      <c r="F17" s="2" t="s">
        <v>59</v>
      </c>
      <c r="G17" s="2" t="s">
        <v>34</v>
      </c>
      <c r="H17" s="2" t="s">
        <v>23</v>
      </c>
      <c r="I17" s="2">
        <v>9.1999999999999993</v>
      </c>
      <c r="J17" s="2">
        <v>12.3</v>
      </c>
      <c r="K17" s="2" t="s">
        <v>24</v>
      </c>
      <c r="L17" s="2" t="s">
        <v>24</v>
      </c>
      <c r="M17" s="2" t="s">
        <v>24</v>
      </c>
      <c r="N17" s="2"/>
      <c r="O17" s="2"/>
      <c r="P17" s="2" t="s">
        <v>25</v>
      </c>
      <c r="Q17" s="3"/>
      <c r="R17" s="3"/>
    </row>
    <row r="18" spans="1:18" x14ac:dyDescent="0.2">
      <c r="A18" s="2" t="s">
        <v>44</v>
      </c>
      <c r="B18" s="2" t="s">
        <v>26</v>
      </c>
      <c r="C18" s="2">
        <v>8</v>
      </c>
      <c r="D18" s="2" t="s">
        <v>31</v>
      </c>
      <c r="E18" s="2" t="s">
        <v>60</v>
      </c>
      <c r="F18" s="2" t="s">
        <v>61</v>
      </c>
      <c r="G18" s="2" t="s">
        <v>23</v>
      </c>
      <c r="H18" s="2" t="s">
        <v>23</v>
      </c>
      <c r="I18" s="2">
        <v>10.7</v>
      </c>
      <c r="J18" s="2">
        <v>4</v>
      </c>
      <c r="K18" s="2" t="s">
        <v>24</v>
      </c>
      <c r="L18" s="2" t="s">
        <v>24</v>
      </c>
      <c r="M18" s="2" t="s">
        <v>24</v>
      </c>
      <c r="N18" s="2"/>
      <c r="O18" s="2"/>
      <c r="P18" s="2" t="s">
        <v>25</v>
      </c>
      <c r="Q18" s="3"/>
      <c r="R18" s="3"/>
    </row>
    <row r="19" spans="1:18" ht="42" x14ac:dyDescent="0.2">
      <c r="A19" s="2" t="s">
        <v>44</v>
      </c>
      <c r="B19" s="2" t="s">
        <v>39</v>
      </c>
      <c r="C19" s="2">
        <v>3</v>
      </c>
      <c r="D19" s="2" t="s">
        <v>20</v>
      </c>
      <c r="E19" s="2" t="s">
        <v>50</v>
      </c>
      <c r="F19" s="2" t="s">
        <v>62</v>
      </c>
      <c r="G19" s="2" t="s">
        <v>23</v>
      </c>
      <c r="H19" s="2" t="s">
        <v>23</v>
      </c>
      <c r="I19" s="2">
        <v>13.5</v>
      </c>
      <c r="J19" s="2">
        <v>11.1</v>
      </c>
      <c r="K19" s="2" t="s">
        <v>24</v>
      </c>
      <c r="L19" s="2" t="s">
        <v>24</v>
      </c>
      <c r="M19" s="2" t="s">
        <v>24</v>
      </c>
      <c r="N19" s="2"/>
      <c r="O19" s="2"/>
      <c r="P19" s="2" t="s">
        <v>25</v>
      </c>
      <c r="Q19" s="3"/>
      <c r="R19" s="3"/>
    </row>
    <row r="20" spans="1:18" ht="28" x14ac:dyDescent="0.2">
      <c r="A20" s="2" t="s">
        <v>44</v>
      </c>
      <c r="B20" s="2" t="s">
        <v>39</v>
      </c>
      <c r="C20" s="2">
        <v>4</v>
      </c>
      <c r="D20" s="2" t="s">
        <v>20</v>
      </c>
      <c r="E20" s="2" t="s">
        <v>52</v>
      </c>
      <c r="F20" s="2" t="s">
        <v>63</v>
      </c>
      <c r="G20" s="2" t="s">
        <v>23</v>
      </c>
      <c r="H20" s="2" t="s">
        <v>23</v>
      </c>
      <c r="I20" s="2">
        <v>5.2</v>
      </c>
      <c r="J20" s="2">
        <v>3.7</v>
      </c>
      <c r="K20" s="2" t="s">
        <v>24</v>
      </c>
      <c r="L20" s="2" t="s">
        <v>24</v>
      </c>
      <c r="M20" s="2" t="s">
        <v>24</v>
      </c>
      <c r="N20" s="2"/>
      <c r="O20" s="2"/>
      <c r="P20" s="2" t="s">
        <v>25</v>
      </c>
      <c r="Q20" s="3"/>
      <c r="R20" s="3"/>
    </row>
    <row r="21" spans="1:18" ht="28" x14ac:dyDescent="0.2">
      <c r="A21" s="2" t="s">
        <v>44</v>
      </c>
      <c r="B21" s="2" t="s">
        <v>39</v>
      </c>
      <c r="C21" s="2">
        <v>5</v>
      </c>
      <c r="D21" s="2" t="s">
        <v>20</v>
      </c>
      <c r="E21" s="2" t="s">
        <v>56</v>
      </c>
      <c r="F21" s="2" t="s">
        <v>64</v>
      </c>
      <c r="G21" s="2" t="s">
        <v>23</v>
      </c>
      <c r="H21" s="2" t="s">
        <v>23</v>
      </c>
      <c r="I21" s="2">
        <v>14.7</v>
      </c>
      <c r="J21" s="2">
        <v>7.6</v>
      </c>
      <c r="K21" s="2" t="s">
        <v>24</v>
      </c>
      <c r="L21" s="2" t="s">
        <v>24</v>
      </c>
      <c r="M21" s="2" t="s">
        <v>24</v>
      </c>
      <c r="N21" s="2"/>
      <c r="O21" s="2"/>
      <c r="P21" s="2" t="s">
        <v>25</v>
      </c>
      <c r="Q21" s="3"/>
      <c r="R21" s="3"/>
    </row>
    <row r="22" spans="1:18" ht="28" x14ac:dyDescent="0.2">
      <c r="A22" s="2" t="s">
        <v>65</v>
      </c>
      <c r="B22" s="2" t="s">
        <v>19</v>
      </c>
      <c r="C22" s="2">
        <v>1</v>
      </c>
      <c r="D22" s="2" t="s">
        <v>20</v>
      </c>
      <c r="E22" s="2" t="s">
        <v>66</v>
      </c>
      <c r="F22" s="2" t="s">
        <v>67</v>
      </c>
      <c r="G22" s="2" t="s">
        <v>23</v>
      </c>
      <c r="H22" s="2" t="s">
        <v>23</v>
      </c>
      <c r="I22" s="2">
        <v>5.2</v>
      </c>
      <c r="J22" s="2">
        <v>0.8</v>
      </c>
      <c r="K22" s="2" t="s">
        <v>24</v>
      </c>
      <c r="L22" s="2" t="s">
        <v>24</v>
      </c>
      <c r="M22" s="2" t="s">
        <v>24</v>
      </c>
      <c r="N22" s="2"/>
      <c r="O22" s="2"/>
      <c r="P22" s="2" t="s">
        <v>25</v>
      </c>
      <c r="Q22" s="3"/>
      <c r="R22" s="3"/>
    </row>
    <row r="23" spans="1:18" ht="28" x14ac:dyDescent="0.2">
      <c r="A23" s="2" t="s">
        <v>65</v>
      </c>
      <c r="B23" s="2" t="s">
        <v>19</v>
      </c>
      <c r="C23" s="2">
        <v>2</v>
      </c>
      <c r="D23" s="2" t="s">
        <v>20</v>
      </c>
      <c r="E23" s="2" t="s">
        <v>68</v>
      </c>
      <c r="F23" s="2" t="s">
        <v>69</v>
      </c>
      <c r="G23" s="2" t="s">
        <v>23</v>
      </c>
      <c r="H23" s="2" t="s">
        <v>23</v>
      </c>
      <c r="I23" s="2">
        <v>12.3</v>
      </c>
      <c r="J23" s="2">
        <v>0.7</v>
      </c>
      <c r="K23" s="2" t="s">
        <v>24</v>
      </c>
      <c r="L23" s="2" t="s">
        <v>24</v>
      </c>
      <c r="M23" s="2" t="s">
        <v>24</v>
      </c>
      <c r="N23" s="2"/>
      <c r="O23" s="2"/>
      <c r="P23" s="2" t="s">
        <v>25</v>
      </c>
      <c r="Q23" s="3"/>
      <c r="R23" s="3"/>
    </row>
    <row r="24" spans="1:18" ht="42" x14ac:dyDescent="0.2">
      <c r="A24" s="2" t="s">
        <v>65</v>
      </c>
      <c r="B24" s="2" t="s">
        <v>19</v>
      </c>
      <c r="C24" s="2">
        <v>3</v>
      </c>
      <c r="D24" s="2" t="s">
        <v>20</v>
      </c>
      <c r="E24" s="2" t="s">
        <v>70</v>
      </c>
      <c r="F24" s="2" t="s">
        <v>48</v>
      </c>
      <c r="G24" s="2" t="s">
        <v>23</v>
      </c>
      <c r="H24" s="2" t="s">
        <v>23</v>
      </c>
      <c r="I24" s="2">
        <v>14.4</v>
      </c>
      <c r="J24" s="2">
        <v>11.2</v>
      </c>
      <c r="K24" s="2" t="s">
        <v>24</v>
      </c>
      <c r="L24" s="2" t="s">
        <v>24</v>
      </c>
      <c r="M24" s="2" t="s">
        <v>24</v>
      </c>
      <c r="N24" s="2"/>
      <c r="O24" s="2"/>
      <c r="P24" s="2" t="s">
        <v>25</v>
      </c>
      <c r="Q24" s="3"/>
      <c r="R24" s="3"/>
    </row>
    <row r="25" spans="1:18" ht="28" x14ac:dyDescent="0.2">
      <c r="A25" s="2" t="s">
        <v>65</v>
      </c>
      <c r="B25" s="2" t="s">
        <v>26</v>
      </c>
      <c r="C25" s="2">
        <v>4</v>
      </c>
      <c r="D25" s="2" t="s">
        <v>20</v>
      </c>
      <c r="E25" s="2" t="s">
        <v>71</v>
      </c>
      <c r="F25" s="2" t="s">
        <v>72</v>
      </c>
      <c r="G25" s="2" t="s">
        <v>23</v>
      </c>
      <c r="H25" s="2" t="s">
        <v>34</v>
      </c>
      <c r="I25" s="2">
        <v>6.8</v>
      </c>
      <c r="J25" s="2">
        <v>4</v>
      </c>
      <c r="K25" s="2" t="s">
        <v>24</v>
      </c>
      <c r="L25" s="2" t="s">
        <v>24</v>
      </c>
      <c r="M25" s="2" t="s">
        <v>24</v>
      </c>
      <c r="N25" s="2"/>
      <c r="O25" s="2"/>
      <c r="P25" s="2" t="s">
        <v>25</v>
      </c>
      <c r="Q25" s="3"/>
      <c r="R25" s="3"/>
    </row>
    <row r="26" spans="1:18" ht="56" x14ac:dyDescent="0.2">
      <c r="A26" s="2" t="s">
        <v>65</v>
      </c>
      <c r="B26" s="2" t="s">
        <v>26</v>
      </c>
      <c r="C26" s="2">
        <v>5</v>
      </c>
      <c r="D26" s="2" t="s">
        <v>20</v>
      </c>
      <c r="E26" s="2" t="s">
        <v>73</v>
      </c>
      <c r="F26" s="2" t="s">
        <v>74</v>
      </c>
      <c r="G26" s="2" t="s">
        <v>23</v>
      </c>
      <c r="H26" s="2" t="s">
        <v>23</v>
      </c>
      <c r="I26" s="2">
        <v>13.3</v>
      </c>
      <c r="J26" s="2">
        <v>12.9</v>
      </c>
      <c r="K26" s="2" t="s">
        <v>24</v>
      </c>
      <c r="L26" s="2" t="s">
        <v>24</v>
      </c>
      <c r="M26" s="2" t="s">
        <v>24</v>
      </c>
      <c r="N26" s="2"/>
      <c r="O26" s="2"/>
      <c r="P26" s="2" t="s">
        <v>25</v>
      </c>
      <c r="Q26" s="3"/>
      <c r="R26" s="3"/>
    </row>
    <row r="27" spans="1:18" ht="56" x14ac:dyDescent="0.2">
      <c r="A27" s="2" t="s">
        <v>65</v>
      </c>
      <c r="B27" s="2" t="s">
        <v>26</v>
      </c>
      <c r="C27" s="2">
        <v>6</v>
      </c>
      <c r="D27" s="2" t="s">
        <v>20</v>
      </c>
      <c r="E27" s="2" t="s">
        <v>73</v>
      </c>
      <c r="F27" s="2" t="s">
        <v>75</v>
      </c>
      <c r="G27" s="2" t="s">
        <v>23</v>
      </c>
      <c r="H27" s="2" t="s">
        <v>34</v>
      </c>
      <c r="I27" s="2">
        <v>13.3</v>
      </c>
      <c r="J27" s="2">
        <v>8.4</v>
      </c>
      <c r="K27" s="2" t="s">
        <v>24</v>
      </c>
      <c r="L27" s="2" t="s">
        <v>24</v>
      </c>
      <c r="M27" s="2" t="s">
        <v>24</v>
      </c>
      <c r="N27" s="2"/>
      <c r="O27" s="2"/>
      <c r="P27" s="2" t="s">
        <v>25</v>
      </c>
      <c r="Q27" s="3"/>
      <c r="R27" s="3"/>
    </row>
    <row r="28" spans="1:18" ht="56" x14ac:dyDescent="0.2">
      <c r="A28" s="2" t="s">
        <v>65</v>
      </c>
      <c r="B28" s="2" t="s">
        <v>26</v>
      </c>
      <c r="C28" s="2">
        <v>7</v>
      </c>
      <c r="D28" s="2" t="s">
        <v>20</v>
      </c>
      <c r="E28" s="2" t="s">
        <v>73</v>
      </c>
      <c r="F28" s="2" t="s">
        <v>76</v>
      </c>
      <c r="G28" s="2" t="s">
        <v>23</v>
      </c>
      <c r="H28" s="2" t="s">
        <v>23</v>
      </c>
      <c r="I28" s="2">
        <v>13.3</v>
      </c>
      <c r="J28" s="2">
        <v>5.4</v>
      </c>
      <c r="K28" s="2" t="s">
        <v>24</v>
      </c>
      <c r="L28" s="2" t="s">
        <v>24</v>
      </c>
      <c r="M28" s="2" t="s">
        <v>24</v>
      </c>
      <c r="N28" s="2"/>
      <c r="O28" s="2"/>
      <c r="P28" s="2" t="s">
        <v>25</v>
      </c>
      <c r="Q28" s="3"/>
      <c r="R28" s="3"/>
    </row>
    <row r="29" spans="1:18" ht="28" x14ac:dyDescent="0.2">
      <c r="A29" s="2" t="s">
        <v>65</v>
      </c>
      <c r="B29" s="2" t="s">
        <v>26</v>
      </c>
      <c r="C29" s="2">
        <v>8</v>
      </c>
      <c r="D29" s="2" t="s">
        <v>31</v>
      </c>
      <c r="E29" s="2" t="s">
        <v>77</v>
      </c>
      <c r="F29" s="2" t="s">
        <v>78</v>
      </c>
      <c r="G29" s="2" t="s">
        <v>34</v>
      </c>
      <c r="H29" s="2" t="s">
        <v>34</v>
      </c>
      <c r="I29" s="2">
        <v>20.6</v>
      </c>
      <c r="J29" s="2">
        <v>4.8</v>
      </c>
      <c r="K29" s="2" t="s">
        <v>24</v>
      </c>
      <c r="L29" s="2" t="s">
        <v>24</v>
      </c>
      <c r="M29" s="2" t="s">
        <v>24</v>
      </c>
      <c r="N29" s="2"/>
      <c r="O29" s="2"/>
      <c r="P29" s="2" t="s">
        <v>25</v>
      </c>
      <c r="Q29" s="3"/>
      <c r="R29" s="3"/>
    </row>
    <row r="30" spans="1:18" ht="56" x14ac:dyDescent="0.2">
      <c r="A30" s="2" t="s">
        <v>65</v>
      </c>
      <c r="B30" s="2" t="s">
        <v>26</v>
      </c>
      <c r="C30" s="2">
        <v>9</v>
      </c>
      <c r="D30" s="2" t="s">
        <v>31</v>
      </c>
      <c r="E30" s="2" t="s">
        <v>79</v>
      </c>
      <c r="F30" s="2" t="s">
        <v>80</v>
      </c>
      <c r="G30" s="2" t="s">
        <v>34</v>
      </c>
      <c r="H30" s="2" t="s">
        <v>23</v>
      </c>
      <c r="I30" s="2">
        <v>13.1</v>
      </c>
      <c r="J30" s="2">
        <v>14.7</v>
      </c>
      <c r="K30" s="2" t="s">
        <v>24</v>
      </c>
      <c r="L30" s="2" t="s">
        <v>24</v>
      </c>
      <c r="M30" s="2" t="s">
        <v>24</v>
      </c>
      <c r="N30" s="2"/>
      <c r="O30" s="2"/>
      <c r="P30" s="2" t="s">
        <v>25</v>
      </c>
      <c r="Q30" s="3"/>
      <c r="R30" s="3"/>
    </row>
    <row r="31" spans="1:18" ht="28" x14ac:dyDescent="0.2">
      <c r="A31" s="2" t="s">
        <v>65</v>
      </c>
      <c r="B31" s="2" t="s">
        <v>26</v>
      </c>
      <c r="C31" s="2">
        <v>10</v>
      </c>
      <c r="D31" s="2" t="s">
        <v>31</v>
      </c>
      <c r="E31" s="2" t="s">
        <v>81</v>
      </c>
      <c r="F31" s="2" t="s">
        <v>82</v>
      </c>
      <c r="G31" s="2" t="s">
        <v>34</v>
      </c>
      <c r="H31" s="2" t="s">
        <v>34</v>
      </c>
      <c r="I31" s="2">
        <v>12.6</v>
      </c>
      <c r="J31" s="2">
        <v>6.8</v>
      </c>
      <c r="K31" s="2" t="s">
        <v>24</v>
      </c>
      <c r="L31" s="2" t="s">
        <v>24</v>
      </c>
      <c r="M31" s="2" t="s">
        <v>24</v>
      </c>
      <c r="N31" s="2"/>
      <c r="O31" s="2"/>
      <c r="P31" s="2" t="s">
        <v>25</v>
      </c>
      <c r="Q31" s="3"/>
      <c r="R31" s="3"/>
    </row>
    <row r="32" spans="1:18" ht="56" x14ac:dyDescent="0.2">
      <c r="A32" s="2" t="s">
        <v>65</v>
      </c>
      <c r="B32" s="2" t="s">
        <v>39</v>
      </c>
      <c r="C32" s="2">
        <v>4</v>
      </c>
      <c r="D32" s="2" t="s">
        <v>20</v>
      </c>
      <c r="E32" s="2" t="s">
        <v>73</v>
      </c>
      <c r="F32" s="2" t="s">
        <v>83</v>
      </c>
      <c r="G32" s="2" t="s">
        <v>23</v>
      </c>
      <c r="H32" s="2" t="s">
        <v>23</v>
      </c>
      <c r="I32" s="2">
        <v>13.3</v>
      </c>
      <c r="J32" s="2">
        <v>16.7</v>
      </c>
      <c r="K32" s="2" t="s">
        <v>24</v>
      </c>
      <c r="L32" s="2" t="s">
        <v>24</v>
      </c>
      <c r="M32" s="2" t="s">
        <v>24</v>
      </c>
      <c r="N32" s="2"/>
      <c r="O32" s="2"/>
      <c r="P32" s="2" t="s">
        <v>25</v>
      </c>
      <c r="Q32" s="3"/>
      <c r="R32" s="3"/>
    </row>
    <row r="33" spans="1:18" ht="56" x14ac:dyDescent="0.2">
      <c r="A33" s="2" t="s">
        <v>65</v>
      </c>
      <c r="B33" s="2" t="s">
        <v>39</v>
      </c>
      <c r="C33" s="2">
        <v>5</v>
      </c>
      <c r="D33" s="2" t="s">
        <v>20</v>
      </c>
      <c r="E33" s="2" t="s">
        <v>73</v>
      </c>
      <c r="F33" s="2" t="s">
        <v>84</v>
      </c>
      <c r="G33" s="2" t="s">
        <v>23</v>
      </c>
      <c r="H33" s="2" t="s">
        <v>23</v>
      </c>
      <c r="I33" s="2">
        <v>13.3</v>
      </c>
      <c r="J33" s="2">
        <v>10.4</v>
      </c>
      <c r="K33" s="2" t="s">
        <v>24</v>
      </c>
      <c r="L33" s="2" t="s">
        <v>24</v>
      </c>
      <c r="M33" s="2" t="s">
        <v>24</v>
      </c>
      <c r="N33" s="2"/>
      <c r="O33" s="2"/>
      <c r="P33" s="2" t="s">
        <v>25</v>
      </c>
      <c r="Q33" s="3"/>
      <c r="R33" s="3"/>
    </row>
    <row r="34" spans="1:18" ht="56" x14ac:dyDescent="0.2">
      <c r="A34" s="2" t="s">
        <v>65</v>
      </c>
      <c r="B34" s="2" t="s">
        <v>39</v>
      </c>
      <c r="C34" s="2">
        <v>6</v>
      </c>
      <c r="D34" s="2" t="s">
        <v>20</v>
      </c>
      <c r="E34" s="2" t="s">
        <v>73</v>
      </c>
      <c r="F34" s="2" t="s">
        <v>85</v>
      </c>
      <c r="G34" s="2" t="s">
        <v>23</v>
      </c>
      <c r="H34" s="2" t="s">
        <v>23</v>
      </c>
      <c r="I34" s="2">
        <v>13.3</v>
      </c>
      <c r="J34" s="2">
        <v>5.3</v>
      </c>
      <c r="K34" s="2" t="s">
        <v>24</v>
      </c>
      <c r="L34" s="2" t="s">
        <v>24</v>
      </c>
      <c r="M34" s="2" t="s">
        <v>24</v>
      </c>
      <c r="N34" s="2"/>
      <c r="O34" s="2"/>
      <c r="P34" s="2" t="s">
        <v>25</v>
      </c>
      <c r="Q34" s="3"/>
      <c r="R34" s="3"/>
    </row>
    <row r="35" spans="1:18" ht="42" x14ac:dyDescent="0.2">
      <c r="A35" s="4" t="s">
        <v>65</v>
      </c>
      <c r="B35" s="4" t="s">
        <v>39</v>
      </c>
      <c r="C35" s="4">
        <v>7</v>
      </c>
      <c r="D35" s="4" t="s">
        <v>20</v>
      </c>
      <c r="E35" s="4" t="s">
        <v>71</v>
      </c>
      <c r="F35" s="4" t="s">
        <v>86</v>
      </c>
      <c r="G35" s="4" t="s">
        <v>23</v>
      </c>
      <c r="H35" s="4" t="s">
        <v>34</v>
      </c>
      <c r="I35" s="4">
        <v>6.8</v>
      </c>
      <c r="J35" s="4">
        <v>9.8000000000000007</v>
      </c>
      <c r="K35" s="4" t="s">
        <v>24</v>
      </c>
      <c r="L35" s="4" t="s">
        <v>24</v>
      </c>
      <c r="M35" s="4" t="s">
        <v>24</v>
      </c>
      <c r="N35" s="4" t="s">
        <v>87</v>
      </c>
      <c r="O35" s="4" t="s">
        <v>36</v>
      </c>
      <c r="P35" s="4" t="s">
        <v>25</v>
      </c>
      <c r="Q35" s="18" t="s">
        <v>24</v>
      </c>
      <c r="R35" s="3"/>
    </row>
    <row r="36" spans="1:18" ht="28" x14ac:dyDescent="0.2">
      <c r="A36" s="2" t="s">
        <v>65</v>
      </c>
      <c r="B36" s="2" t="s">
        <v>39</v>
      </c>
      <c r="C36" s="2">
        <v>8</v>
      </c>
      <c r="D36" s="2" t="s">
        <v>31</v>
      </c>
      <c r="E36" s="2" t="s">
        <v>77</v>
      </c>
      <c r="F36" s="2" t="s">
        <v>88</v>
      </c>
      <c r="G36" s="2" t="s">
        <v>34</v>
      </c>
      <c r="H36" s="2" t="s">
        <v>34</v>
      </c>
      <c r="I36" s="2">
        <v>20.6</v>
      </c>
      <c r="J36" s="2">
        <v>4</v>
      </c>
      <c r="K36" s="2" t="s">
        <v>24</v>
      </c>
      <c r="L36" s="2" t="s">
        <v>24</v>
      </c>
      <c r="M36" s="2" t="s">
        <v>24</v>
      </c>
      <c r="N36" s="2"/>
      <c r="O36" s="2"/>
      <c r="P36" s="2" t="s">
        <v>25</v>
      </c>
      <c r="Q36" s="3"/>
      <c r="R36" s="3"/>
    </row>
    <row r="37" spans="1:18" ht="56" x14ac:dyDescent="0.2">
      <c r="A37" s="2" t="s">
        <v>65</v>
      </c>
      <c r="B37" s="2" t="s">
        <v>39</v>
      </c>
      <c r="C37" s="2">
        <v>9</v>
      </c>
      <c r="D37" s="2" t="s">
        <v>31</v>
      </c>
      <c r="E37" s="2" t="s">
        <v>79</v>
      </c>
      <c r="F37" s="2" t="s">
        <v>89</v>
      </c>
      <c r="G37" s="2" t="s">
        <v>34</v>
      </c>
      <c r="H37" s="2" t="s">
        <v>23</v>
      </c>
      <c r="I37" s="2">
        <v>13.1</v>
      </c>
      <c r="J37" s="2">
        <v>17.100000000000001</v>
      </c>
      <c r="K37" s="2" t="s">
        <v>24</v>
      </c>
      <c r="L37" s="2" t="s">
        <v>24</v>
      </c>
      <c r="M37" s="2" t="s">
        <v>24</v>
      </c>
      <c r="N37" s="2"/>
      <c r="O37" s="2"/>
      <c r="P37" s="2" t="s">
        <v>25</v>
      </c>
      <c r="Q37" s="3"/>
      <c r="R37" s="3"/>
    </row>
    <row r="38" spans="1:18" ht="42" x14ac:dyDescent="0.2">
      <c r="A38" s="2" t="s">
        <v>65</v>
      </c>
      <c r="B38" s="2" t="s">
        <v>39</v>
      </c>
      <c r="C38" s="2">
        <v>10</v>
      </c>
      <c r="D38" s="2" t="s">
        <v>31</v>
      </c>
      <c r="E38" s="2" t="s">
        <v>90</v>
      </c>
      <c r="F38" s="2" t="s">
        <v>91</v>
      </c>
      <c r="G38" s="2" t="s">
        <v>34</v>
      </c>
      <c r="H38" s="2" t="s">
        <v>34</v>
      </c>
      <c r="I38" s="2">
        <v>11.9</v>
      </c>
      <c r="J38" s="2">
        <v>14.5</v>
      </c>
      <c r="K38" s="2" t="s">
        <v>24</v>
      </c>
      <c r="L38" s="2" t="s">
        <v>24</v>
      </c>
      <c r="M38" s="2" t="s">
        <v>24</v>
      </c>
      <c r="N38" s="2"/>
      <c r="O38" s="2"/>
      <c r="P38" s="2" t="s">
        <v>25</v>
      </c>
      <c r="Q38" s="3"/>
      <c r="R38" s="3"/>
    </row>
    <row r="39" spans="1:18" ht="28" x14ac:dyDescent="0.2">
      <c r="A39" s="2" t="s">
        <v>92</v>
      </c>
      <c r="B39" s="2" t="s">
        <v>19</v>
      </c>
      <c r="C39" s="2">
        <v>1</v>
      </c>
      <c r="D39" s="2" t="s">
        <v>20</v>
      </c>
      <c r="E39" s="2" t="s">
        <v>45</v>
      </c>
      <c r="F39" s="2" t="s">
        <v>46</v>
      </c>
      <c r="G39" s="2" t="s">
        <v>23</v>
      </c>
      <c r="H39" s="2" t="s">
        <v>23</v>
      </c>
      <c r="I39" s="2">
        <v>3.7</v>
      </c>
      <c r="J39" s="2">
        <v>0.6</v>
      </c>
      <c r="K39" s="2" t="s">
        <v>24</v>
      </c>
      <c r="L39" s="2" t="s">
        <v>24</v>
      </c>
      <c r="M39" s="2" t="s">
        <v>24</v>
      </c>
      <c r="N39" s="2"/>
      <c r="O39" s="2"/>
      <c r="P39" s="2" t="s">
        <v>25</v>
      </c>
      <c r="Q39" s="3"/>
      <c r="R39" s="3"/>
    </row>
    <row r="40" spans="1:18" ht="28" x14ac:dyDescent="0.2">
      <c r="A40" s="2" t="s">
        <v>92</v>
      </c>
      <c r="B40" s="2" t="s">
        <v>19</v>
      </c>
      <c r="C40" s="2">
        <v>2</v>
      </c>
      <c r="D40" s="2" t="s">
        <v>20</v>
      </c>
      <c r="E40" s="2" t="s">
        <v>68</v>
      </c>
      <c r="F40" s="2" t="s">
        <v>69</v>
      </c>
      <c r="G40" s="2" t="s">
        <v>23</v>
      </c>
      <c r="H40" s="2" t="s">
        <v>23</v>
      </c>
      <c r="I40" s="2">
        <v>12.3</v>
      </c>
      <c r="J40" s="2">
        <v>0.7</v>
      </c>
      <c r="K40" s="2" t="s">
        <v>24</v>
      </c>
      <c r="L40" s="2" t="s">
        <v>24</v>
      </c>
      <c r="M40" s="2" t="s">
        <v>24</v>
      </c>
      <c r="N40" s="2"/>
      <c r="O40" s="2"/>
      <c r="P40" s="2" t="s">
        <v>25</v>
      </c>
      <c r="Q40" s="3"/>
      <c r="R40" s="3"/>
    </row>
    <row r="41" spans="1:18" ht="42" x14ac:dyDescent="0.2">
      <c r="A41" s="2" t="s">
        <v>92</v>
      </c>
      <c r="B41" s="2" t="s">
        <v>19</v>
      </c>
      <c r="C41" s="2">
        <v>3</v>
      </c>
      <c r="D41" s="2" t="s">
        <v>20</v>
      </c>
      <c r="E41" s="2" t="s">
        <v>93</v>
      </c>
      <c r="F41" s="2" t="s">
        <v>48</v>
      </c>
      <c r="G41" s="2" t="s">
        <v>23</v>
      </c>
      <c r="H41" s="2" t="s">
        <v>23</v>
      </c>
      <c r="I41" s="2">
        <v>13.5</v>
      </c>
      <c r="J41" s="2">
        <v>11.2</v>
      </c>
      <c r="K41" s="2" t="s">
        <v>24</v>
      </c>
      <c r="L41" s="2" t="s">
        <v>24</v>
      </c>
      <c r="M41" s="2" t="s">
        <v>24</v>
      </c>
      <c r="N41" s="2"/>
      <c r="O41" s="2"/>
      <c r="P41" s="2" t="s">
        <v>25</v>
      </c>
      <c r="Q41" s="3"/>
      <c r="R41" s="3"/>
    </row>
    <row r="42" spans="1:18" ht="28" x14ac:dyDescent="0.2">
      <c r="A42" s="2" t="s">
        <v>92</v>
      </c>
      <c r="B42" s="2" t="s">
        <v>26</v>
      </c>
      <c r="C42" s="2">
        <v>4</v>
      </c>
      <c r="D42" s="2" t="s">
        <v>20</v>
      </c>
      <c r="E42" s="2" t="s">
        <v>94</v>
      </c>
      <c r="F42" s="2" t="s">
        <v>95</v>
      </c>
      <c r="G42" s="2" t="s">
        <v>23</v>
      </c>
      <c r="H42" s="2" t="s">
        <v>34</v>
      </c>
      <c r="I42" s="2">
        <v>10.1</v>
      </c>
      <c r="J42" s="2">
        <v>8.3000000000000007</v>
      </c>
      <c r="K42" s="2" t="s">
        <v>24</v>
      </c>
      <c r="L42" s="2" t="s">
        <v>24</v>
      </c>
      <c r="M42" s="2" t="s">
        <v>24</v>
      </c>
      <c r="N42" s="2"/>
      <c r="O42" s="2"/>
      <c r="P42" s="2" t="s">
        <v>25</v>
      </c>
      <c r="Q42" s="3"/>
      <c r="R42" s="3"/>
    </row>
    <row r="43" spans="1:18" ht="28" x14ac:dyDescent="0.2">
      <c r="A43" s="2" t="s">
        <v>92</v>
      </c>
      <c r="B43" s="2" t="s">
        <v>26</v>
      </c>
      <c r="C43" s="2">
        <v>5</v>
      </c>
      <c r="D43" s="2" t="s">
        <v>20</v>
      </c>
      <c r="E43" s="2" t="s">
        <v>96</v>
      </c>
      <c r="F43" s="2" t="s">
        <v>97</v>
      </c>
      <c r="G43" s="2" t="s">
        <v>23</v>
      </c>
      <c r="H43" s="2" t="s">
        <v>34</v>
      </c>
      <c r="I43" s="2">
        <v>9.8000000000000007</v>
      </c>
      <c r="J43" s="2">
        <v>8.1</v>
      </c>
      <c r="K43" s="2" t="s">
        <v>24</v>
      </c>
      <c r="L43" s="2" t="s">
        <v>24</v>
      </c>
      <c r="M43" s="2" t="s">
        <v>24</v>
      </c>
      <c r="N43" s="2"/>
      <c r="O43" s="2"/>
      <c r="P43" s="2" t="s">
        <v>25</v>
      </c>
      <c r="Q43" s="3"/>
      <c r="R43" s="3"/>
    </row>
    <row r="44" spans="1:18" ht="42" x14ac:dyDescent="0.2">
      <c r="A44" s="2" t="s">
        <v>92</v>
      </c>
      <c r="B44" s="2" t="s">
        <v>26</v>
      </c>
      <c r="C44" s="2">
        <v>6</v>
      </c>
      <c r="D44" s="2" t="s">
        <v>31</v>
      </c>
      <c r="E44" s="2" t="s">
        <v>98</v>
      </c>
      <c r="F44" s="2" t="s">
        <v>99</v>
      </c>
      <c r="G44" s="2" t="s">
        <v>34</v>
      </c>
      <c r="H44" s="2" t="s">
        <v>23</v>
      </c>
      <c r="I44" s="2">
        <v>14.3</v>
      </c>
      <c r="J44" s="2">
        <v>14.9</v>
      </c>
      <c r="K44" s="2" t="s">
        <v>24</v>
      </c>
      <c r="L44" s="2" t="s">
        <v>24</v>
      </c>
      <c r="M44" s="2" t="s">
        <v>24</v>
      </c>
      <c r="N44" s="2"/>
      <c r="O44" s="2"/>
      <c r="P44" s="2" t="s">
        <v>25</v>
      </c>
      <c r="Q44" s="3"/>
      <c r="R44" s="3"/>
    </row>
    <row r="45" spans="1:18" x14ac:dyDescent="0.2">
      <c r="A45" s="2" t="s">
        <v>92</v>
      </c>
      <c r="B45" s="2" t="s">
        <v>26</v>
      </c>
      <c r="C45" s="2">
        <v>7</v>
      </c>
      <c r="D45" s="2" t="s">
        <v>31</v>
      </c>
      <c r="E45" s="2" t="s">
        <v>100</v>
      </c>
      <c r="F45" s="2" t="s">
        <v>101</v>
      </c>
      <c r="G45" s="2" t="s">
        <v>34</v>
      </c>
      <c r="H45" s="2" t="s">
        <v>34</v>
      </c>
      <c r="I45" s="2">
        <v>17</v>
      </c>
      <c r="J45" s="2">
        <v>2.2999999999999998</v>
      </c>
      <c r="K45" s="2" t="s">
        <v>24</v>
      </c>
      <c r="L45" s="2" t="s">
        <v>24</v>
      </c>
      <c r="M45" s="2" t="s">
        <v>24</v>
      </c>
      <c r="N45" s="2"/>
      <c r="O45" s="2"/>
      <c r="P45" s="2" t="s">
        <v>25</v>
      </c>
      <c r="Q45" s="3"/>
      <c r="R45" s="3"/>
    </row>
    <row r="46" spans="1:18" ht="56" x14ac:dyDescent="0.2">
      <c r="A46" s="2" t="s">
        <v>92</v>
      </c>
      <c r="B46" s="2" t="s">
        <v>26</v>
      </c>
      <c r="C46" s="2">
        <v>8</v>
      </c>
      <c r="D46" s="2" t="s">
        <v>20</v>
      </c>
      <c r="E46" s="2" t="s">
        <v>102</v>
      </c>
      <c r="F46" s="2" t="s">
        <v>103</v>
      </c>
      <c r="G46" s="2" t="s">
        <v>23</v>
      </c>
      <c r="H46" s="2" t="s">
        <v>23</v>
      </c>
      <c r="I46" s="2">
        <v>12.2</v>
      </c>
      <c r="J46" s="2">
        <v>9.6</v>
      </c>
      <c r="K46" s="2" t="s">
        <v>24</v>
      </c>
      <c r="L46" s="2" t="s">
        <v>24</v>
      </c>
      <c r="M46" s="2" t="s">
        <v>24</v>
      </c>
      <c r="N46" s="2"/>
      <c r="O46" s="2"/>
      <c r="P46" s="2" t="s">
        <v>25</v>
      </c>
      <c r="Q46" s="3"/>
      <c r="R46" s="3"/>
    </row>
    <row r="47" spans="1:18" ht="28" x14ac:dyDescent="0.2">
      <c r="A47" s="2" t="s">
        <v>92</v>
      </c>
      <c r="B47" s="2" t="s">
        <v>26</v>
      </c>
      <c r="C47" s="2">
        <v>9</v>
      </c>
      <c r="D47" s="2" t="s">
        <v>31</v>
      </c>
      <c r="E47" s="2" t="s">
        <v>104</v>
      </c>
      <c r="F47" s="2" t="s">
        <v>105</v>
      </c>
      <c r="G47" s="2" t="s">
        <v>34</v>
      </c>
      <c r="H47" s="2" t="s">
        <v>34</v>
      </c>
      <c r="I47" s="2">
        <v>8</v>
      </c>
      <c r="J47" s="2">
        <v>5.2</v>
      </c>
      <c r="K47" s="2" t="s">
        <v>24</v>
      </c>
      <c r="L47" s="2" t="s">
        <v>24</v>
      </c>
      <c r="M47" s="2" t="s">
        <v>24</v>
      </c>
      <c r="N47" s="2"/>
      <c r="O47" s="2"/>
      <c r="P47" s="2" t="s">
        <v>25</v>
      </c>
      <c r="Q47" s="3"/>
      <c r="R47" s="3"/>
    </row>
    <row r="48" spans="1:18" ht="28" x14ac:dyDescent="0.2">
      <c r="A48" s="2" t="s">
        <v>92</v>
      </c>
      <c r="B48" s="2" t="s">
        <v>39</v>
      </c>
      <c r="C48" s="2">
        <v>4</v>
      </c>
      <c r="D48" s="2" t="s">
        <v>20</v>
      </c>
      <c r="E48" s="2" t="s">
        <v>106</v>
      </c>
      <c r="F48" s="2" t="s">
        <v>107</v>
      </c>
      <c r="G48" s="2" t="s">
        <v>23</v>
      </c>
      <c r="H48" s="2" t="s">
        <v>34</v>
      </c>
      <c r="I48" s="2">
        <v>10.4</v>
      </c>
      <c r="J48" s="2">
        <v>10.199999999999999</v>
      </c>
      <c r="K48" s="2" t="s">
        <v>24</v>
      </c>
      <c r="L48" s="2" t="s">
        <v>24</v>
      </c>
      <c r="M48" s="2" t="s">
        <v>24</v>
      </c>
      <c r="N48" s="2"/>
      <c r="O48" s="2"/>
      <c r="P48" s="2" t="s">
        <v>25</v>
      </c>
      <c r="Q48" s="3"/>
      <c r="R48" s="3"/>
    </row>
    <row r="49" spans="1:18" ht="28" x14ac:dyDescent="0.2">
      <c r="A49" s="2" t="s">
        <v>92</v>
      </c>
      <c r="B49" s="2" t="s">
        <v>39</v>
      </c>
      <c r="C49" s="2">
        <v>5</v>
      </c>
      <c r="D49" s="2" t="s">
        <v>20</v>
      </c>
      <c r="E49" s="2" t="s">
        <v>106</v>
      </c>
      <c r="F49" s="2" t="s">
        <v>108</v>
      </c>
      <c r="G49" s="2" t="s">
        <v>23</v>
      </c>
      <c r="H49" s="2" t="s">
        <v>34</v>
      </c>
      <c r="I49" s="2">
        <v>10.4</v>
      </c>
      <c r="J49" s="2">
        <v>6.8</v>
      </c>
      <c r="K49" s="2" t="s">
        <v>24</v>
      </c>
      <c r="L49" s="2" t="s">
        <v>24</v>
      </c>
      <c r="M49" s="2" t="s">
        <v>24</v>
      </c>
      <c r="N49" s="2"/>
      <c r="O49" s="2"/>
      <c r="P49" s="2" t="s">
        <v>25</v>
      </c>
      <c r="Q49" s="3"/>
      <c r="R49" s="3"/>
    </row>
    <row r="50" spans="1:18" ht="28" x14ac:dyDescent="0.2">
      <c r="A50" s="2" t="s">
        <v>92</v>
      </c>
      <c r="B50" s="2" t="s">
        <v>39</v>
      </c>
      <c r="C50" s="2">
        <v>6</v>
      </c>
      <c r="D50" s="2" t="s">
        <v>20</v>
      </c>
      <c r="E50" s="2" t="s">
        <v>109</v>
      </c>
      <c r="F50" s="2" t="s">
        <v>110</v>
      </c>
      <c r="G50" s="2" t="s">
        <v>23</v>
      </c>
      <c r="H50" s="2" t="s">
        <v>23</v>
      </c>
      <c r="I50" s="2">
        <v>9.9</v>
      </c>
      <c r="J50" s="2">
        <v>9.8000000000000007</v>
      </c>
      <c r="K50" s="2" t="s">
        <v>24</v>
      </c>
      <c r="L50" s="2" t="s">
        <v>24</v>
      </c>
      <c r="M50" s="2" t="s">
        <v>24</v>
      </c>
      <c r="N50" s="2"/>
      <c r="O50" s="2"/>
      <c r="P50" s="2" t="s">
        <v>25</v>
      </c>
      <c r="Q50" s="3"/>
      <c r="R50" s="3"/>
    </row>
    <row r="51" spans="1:18" ht="56" x14ac:dyDescent="0.2">
      <c r="A51" s="2" t="s">
        <v>92</v>
      </c>
      <c r="B51" s="2" t="s">
        <v>39</v>
      </c>
      <c r="C51" s="2">
        <v>7</v>
      </c>
      <c r="D51" s="2" t="s">
        <v>31</v>
      </c>
      <c r="E51" s="2" t="s">
        <v>111</v>
      </c>
      <c r="F51" s="2" t="s">
        <v>112</v>
      </c>
      <c r="G51" s="2" t="s">
        <v>34</v>
      </c>
      <c r="H51" s="2" t="s">
        <v>34</v>
      </c>
      <c r="I51" s="2">
        <v>15.5</v>
      </c>
      <c r="J51" s="2">
        <v>17.7</v>
      </c>
      <c r="K51" s="2" t="s">
        <v>24</v>
      </c>
      <c r="L51" s="2" t="s">
        <v>24</v>
      </c>
      <c r="M51" s="2" t="s">
        <v>24</v>
      </c>
      <c r="N51" s="2"/>
      <c r="O51" s="2"/>
      <c r="P51" s="2" t="s">
        <v>25</v>
      </c>
      <c r="Q51" s="3"/>
      <c r="R51" s="3"/>
    </row>
    <row r="52" spans="1:18" ht="28" x14ac:dyDescent="0.2">
      <c r="A52" s="2" t="s">
        <v>92</v>
      </c>
      <c r="B52" s="2" t="s">
        <v>39</v>
      </c>
      <c r="C52" s="2">
        <v>8</v>
      </c>
      <c r="D52" s="2" t="s">
        <v>31</v>
      </c>
      <c r="E52" s="2" t="s">
        <v>113</v>
      </c>
      <c r="F52" s="2" t="s">
        <v>114</v>
      </c>
      <c r="G52" s="2" t="s">
        <v>34</v>
      </c>
      <c r="H52" s="2" t="s">
        <v>34</v>
      </c>
      <c r="I52" s="2">
        <v>26.5</v>
      </c>
      <c r="J52" s="2">
        <v>5.8</v>
      </c>
      <c r="K52" s="2" t="s">
        <v>24</v>
      </c>
      <c r="L52" s="2" t="s">
        <v>24</v>
      </c>
      <c r="M52" s="2" t="s">
        <v>24</v>
      </c>
      <c r="N52" s="2"/>
      <c r="O52" s="2"/>
      <c r="P52" s="2" t="s">
        <v>25</v>
      </c>
      <c r="Q52" s="3"/>
      <c r="R52" s="3"/>
    </row>
    <row r="53" spans="1:18" ht="28" x14ac:dyDescent="0.2">
      <c r="A53" s="2" t="s">
        <v>115</v>
      </c>
      <c r="B53" s="2" t="s">
        <v>19</v>
      </c>
      <c r="C53" s="2">
        <v>1</v>
      </c>
      <c r="D53" s="2" t="s">
        <v>20</v>
      </c>
      <c r="E53" s="2" t="s">
        <v>116</v>
      </c>
      <c r="F53" s="2" t="s">
        <v>117</v>
      </c>
      <c r="G53" s="2" t="s">
        <v>23</v>
      </c>
      <c r="H53" s="2" t="s">
        <v>23</v>
      </c>
      <c r="I53" s="2">
        <v>5.2</v>
      </c>
      <c r="J53" s="2">
        <v>0.8</v>
      </c>
      <c r="K53" s="2" t="s">
        <v>24</v>
      </c>
      <c r="L53" s="2" t="s">
        <v>24</v>
      </c>
      <c r="M53" s="2" t="s">
        <v>24</v>
      </c>
      <c r="N53" s="2"/>
      <c r="O53" s="2"/>
      <c r="P53" s="2" t="s">
        <v>25</v>
      </c>
      <c r="Q53" s="3"/>
      <c r="R53" s="3"/>
    </row>
    <row r="54" spans="1:18" ht="42" x14ac:dyDescent="0.2">
      <c r="A54" s="2" t="s">
        <v>115</v>
      </c>
      <c r="B54" s="2" t="s">
        <v>19</v>
      </c>
      <c r="C54" s="2">
        <v>2</v>
      </c>
      <c r="D54" s="2" t="s">
        <v>20</v>
      </c>
      <c r="E54" s="2" t="s">
        <v>118</v>
      </c>
      <c r="F54" s="2" t="s">
        <v>48</v>
      </c>
      <c r="G54" s="2" t="s">
        <v>23</v>
      </c>
      <c r="H54" s="2" t="s">
        <v>23</v>
      </c>
      <c r="I54" s="2">
        <v>12.6</v>
      </c>
      <c r="J54" s="2">
        <v>11.2</v>
      </c>
      <c r="K54" s="2" t="s">
        <v>24</v>
      </c>
      <c r="L54" s="2" t="s">
        <v>24</v>
      </c>
      <c r="M54" s="2" t="s">
        <v>24</v>
      </c>
      <c r="N54" s="2"/>
      <c r="O54" s="2"/>
      <c r="P54" s="2" t="s">
        <v>25</v>
      </c>
      <c r="Q54" s="3"/>
      <c r="R54" s="3"/>
    </row>
    <row r="55" spans="1:18" ht="42" x14ac:dyDescent="0.2">
      <c r="A55" s="2" t="s">
        <v>115</v>
      </c>
      <c r="B55" s="2" t="s">
        <v>26</v>
      </c>
      <c r="C55" s="2">
        <v>3</v>
      </c>
      <c r="D55" s="2" t="s">
        <v>20</v>
      </c>
      <c r="E55" s="2" t="s">
        <v>119</v>
      </c>
      <c r="F55" s="2" t="s">
        <v>120</v>
      </c>
      <c r="G55" s="2" t="s">
        <v>23</v>
      </c>
      <c r="H55" s="2" t="s">
        <v>23</v>
      </c>
      <c r="I55" s="2">
        <v>11.8</v>
      </c>
      <c r="J55" s="2">
        <v>15.6</v>
      </c>
      <c r="K55" s="2" t="s">
        <v>24</v>
      </c>
      <c r="L55" s="2" t="s">
        <v>24</v>
      </c>
      <c r="M55" s="2" t="s">
        <v>24</v>
      </c>
      <c r="N55" s="2"/>
      <c r="O55" s="2"/>
      <c r="P55" s="2" t="s">
        <v>25</v>
      </c>
      <c r="Q55" s="3"/>
      <c r="R55" s="3"/>
    </row>
    <row r="56" spans="1:18" ht="28" x14ac:dyDescent="0.2">
      <c r="A56" s="2" t="s">
        <v>115</v>
      </c>
      <c r="B56" s="2" t="s">
        <v>26</v>
      </c>
      <c r="C56" s="2">
        <v>4</v>
      </c>
      <c r="D56" s="2" t="s">
        <v>20</v>
      </c>
      <c r="E56" s="2" t="s">
        <v>121</v>
      </c>
      <c r="F56" s="2" t="s">
        <v>122</v>
      </c>
      <c r="G56" s="2" t="s">
        <v>23</v>
      </c>
      <c r="H56" s="2" t="s">
        <v>23</v>
      </c>
      <c r="I56" s="2">
        <v>8.4</v>
      </c>
      <c r="J56" s="2">
        <v>9.1</v>
      </c>
      <c r="K56" s="2" t="s">
        <v>24</v>
      </c>
      <c r="L56" s="2" t="s">
        <v>24</v>
      </c>
      <c r="M56" s="2" t="s">
        <v>24</v>
      </c>
      <c r="N56" s="2"/>
      <c r="O56" s="2"/>
      <c r="P56" s="2" t="s">
        <v>25</v>
      </c>
      <c r="Q56" s="3"/>
      <c r="R56" s="3"/>
    </row>
    <row r="57" spans="1:18" ht="28" x14ac:dyDescent="0.2">
      <c r="A57" s="5" t="s">
        <v>115</v>
      </c>
      <c r="B57" s="5" t="s">
        <v>26</v>
      </c>
      <c r="C57" s="5">
        <v>5</v>
      </c>
      <c r="D57" s="5" t="s">
        <v>20</v>
      </c>
      <c r="E57" s="5" t="s">
        <v>123</v>
      </c>
      <c r="F57" s="5" t="s">
        <v>124</v>
      </c>
      <c r="G57" s="5" t="s">
        <v>23</v>
      </c>
      <c r="H57" s="5" t="s">
        <v>23</v>
      </c>
      <c r="I57" s="5">
        <v>7.6</v>
      </c>
      <c r="J57" s="5">
        <v>3.7</v>
      </c>
      <c r="K57" s="5" t="s">
        <v>125</v>
      </c>
      <c r="L57" s="5" t="s">
        <v>24</v>
      </c>
      <c r="M57" s="5" t="s">
        <v>24</v>
      </c>
      <c r="N57" s="5" t="s">
        <v>126</v>
      </c>
      <c r="O57" s="5" t="s">
        <v>127</v>
      </c>
      <c r="P57" s="5" t="s">
        <v>25</v>
      </c>
      <c r="Q57" s="18" t="s">
        <v>24</v>
      </c>
      <c r="R57" s="3"/>
    </row>
    <row r="58" spans="1:18" ht="42" x14ac:dyDescent="0.2">
      <c r="A58" s="2" t="s">
        <v>115</v>
      </c>
      <c r="B58" s="2" t="s">
        <v>26</v>
      </c>
      <c r="C58" s="2">
        <v>6</v>
      </c>
      <c r="D58" s="2" t="s">
        <v>31</v>
      </c>
      <c r="E58" s="2" t="s">
        <v>128</v>
      </c>
      <c r="F58" s="2" t="s">
        <v>129</v>
      </c>
      <c r="G58" s="2" t="s">
        <v>34</v>
      </c>
      <c r="H58" s="2" t="s">
        <v>23</v>
      </c>
      <c r="I58" s="2">
        <v>14</v>
      </c>
      <c r="J58" s="2">
        <v>15.9</v>
      </c>
      <c r="K58" s="2" t="s">
        <v>24</v>
      </c>
      <c r="L58" s="2" t="s">
        <v>24</v>
      </c>
      <c r="M58" s="2" t="s">
        <v>24</v>
      </c>
      <c r="N58" s="2"/>
      <c r="O58" s="2"/>
      <c r="P58" s="2" t="s">
        <v>25</v>
      </c>
      <c r="Q58" s="3"/>
      <c r="R58" s="3"/>
    </row>
    <row r="59" spans="1:18" ht="56" x14ac:dyDescent="0.2">
      <c r="A59" s="2" t="s">
        <v>115</v>
      </c>
      <c r="B59" s="2" t="s">
        <v>26</v>
      </c>
      <c r="C59" s="2">
        <v>7</v>
      </c>
      <c r="D59" s="2" t="s">
        <v>31</v>
      </c>
      <c r="E59" s="2" t="s">
        <v>130</v>
      </c>
      <c r="F59" s="2" t="s">
        <v>131</v>
      </c>
      <c r="G59" s="2" t="s">
        <v>34</v>
      </c>
      <c r="H59" s="2" t="s">
        <v>23</v>
      </c>
      <c r="I59" s="2">
        <v>17.8</v>
      </c>
      <c r="J59" s="2">
        <v>19.399999999999999</v>
      </c>
      <c r="K59" s="2" t="s">
        <v>24</v>
      </c>
      <c r="L59" s="2" t="s">
        <v>24</v>
      </c>
      <c r="M59" s="2" t="s">
        <v>24</v>
      </c>
      <c r="N59" s="2"/>
      <c r="O59" s="2"/>
      <c r="P59" s="2" t="s">
        <v>25</v>
      </c>
      <c r="Q59" s="3"/>
      <c r="R59" s="3"/>
    </row>
    <row r="60" spans="1:18" ht="56" x14ac:dyDescent="0.2">
      <c r="A60" s="2" t="s">
        <v>115</v>
      </c>
      <c r="B60" s="2" t="s">
        <v>26</v>
      </c>
      <c r="C60" s="2">
        <v>8</v>
      </c>
      <c r="D60" s="2" t="s">
        <v>31</v>
      </c>
      <c r="E60" s="2" t="s">
        <v>132</v>
      </c>
      <c r="F60" s="2" t="s">
        <v>133</v>
      </c>
      <c r="G60" s="2" t="s">
        <v>34</v>
      </c>
      <c r="H60" s="2" t="s">
        <v>23</v>
      </c>
      <c r="I60" s="2">
        <v>15</v>
      </c>
      <c r="J60" s="2">
        <v>15.7</v>
      </c>
      <c r="K60" s="2" t="s">
        <v>24</v>
      </c>
      <c r="L60" s="2" t="s">
        <v>24</v>
      </c>
      <c r="M60" s="2" t="s">
        <v>24</v>
      </c>
      <c r="N60" s="2"/>
      <c r="O60" s="2"/>
      <c r="P60" s="2" t="s">
        <v>25</v>
      </c>
      <c r="Q60" s="3"/>
      <c r="R60" s="3"/>
    </row>
    <row r="61" spans="1:18" ht="56" x14ac:dyDescent="0.2">
      <c r="A61" s="2" t="s">
        <v>115</v>
      </c>
      <c r="B61" s="2" t="s">
        <v>26</v>
      </c>
      <c r="C61" s="2">
        <v>9</v>
      </c>
      <c r="D61" s="2" t="s">
        <v>31</v>
      </c>
      <c r="E61" s="2" t="s">
        <v>134</v>
      </c>
      <c r="F61" s="2" t="s">
        <v>135</v>
      </c>
      <c r="G61" s="2" t="s">
        <v>34</v>
      </c>
      <c r="H61" s="2" t="s">
        <v>23</v>
      </c>
      <c r="I61" s="2">
        <v>14.4</v>
      </c>
      <c r="J61" s="2">
        <v>18.5</v>
      </c>
      <c r="K61" s="2" t="s">
        <v>24</v>
      </c>
      <c r="L61" s="2" t="s">
        <v>24</v>
      </c>
      <c r="M61" s="2" t="s">
        <v>24</v>
      </c>
      <c r="N61" s="2"/>
      <c r="O61" s="2"/>
      <c r="P61" s="2" t="s">
        <v>25</v>
      </c>
      <c r="Q61" s="3"/>
      <c r="R61" s="3"/>
    </row>
    <row r="62" spans="1:18" ht="42" x14ac:dyDescent="0.2">
      <c r="A62" s="2" t="s">
        <v>115</v>
      </c>
      <c r="B62" s="2" t="s">
        <v>26</v>
      </c>
      <c r="C62" s="2">
        <v>10</v>
      </c>
      <c r="D62" s="2" t="s">
        <v>31</v>
      </c>
      <c r="E62" s="2" t="s">
        <v>136</v>
      </c>
      <c r="F62" s="2" t="s">
        <v>137</v>
      </c>
      <c r="G62" s="2" t="s">
        <v>34</v>
      </c>
      <c r="H62" s="2" t="s">
        <v>23</v>
      </c>
      <c r="I62" s="2">
        <v>15.5</v>
      </c>
      <c r="J62" s="2">
        <v>13.1</v>
      </c>
      <c r="K62" s="2" t="s">
        <v>24</v>
      </c>
      <c r="L62" s="2" t="s">
        <v>24</v>
      </c>
      <c r="M62" s="2" t="s">
        <v>24</v>
      </c>
      <c r="N62" s="2"/>
      <c r="O62" s="2"/>
      <c r="P62" s="2" t="s">
        <v>25</v>
      </c>
      <c r="Q62" s="3"/>
      <c r="R62" s="3"/>
    </row>
    <row r="63" spans="1:18" ht="56" x14ac:dyDescent="0.2">
      <c r="A63" s="2" t="s">
        <v>115</v>
      </c>
      <c r="B63" s="2" t="s">
        <v>39</v>
      </c>
      <c r="C63" s="2">
        <v>3</v>
      </c>
      <c r="D63" s="2" t="s">
        <v>20</v>
      </c>
      <c r="E63" s="2" t="s">
        <v>138</v>
      </c>
      <c r="F63" s="2" t="s">
        <v>139</v>
      </c>
      <c r="G63" s="2" t="s">
        <v>23</v>
      </c>
      <c r="H63" s="2" t="s">
        <v>23</v>
      </c>
      <c r="I63" s="2">
        <v>9.9</v>
      </c>
      <c r="J63" s="2">
        <v>17.8</v>
      </c>
      <c r="K63" s="2" t="s">
        <v>24</v>
      </c>
      <c r="L63" s="2" t="s">
        <v>24</v>
      </c>
      <c r="M63" s="2" t="s">
        <v>24</v>
      </c>
      <c r="N63" s="2"/>
      <c r="O63" s="2"/>
      <c r="P63" s="2" t="s">
        <v>25</v>
      </c>
      <c r="Q63" s="3"/>
      <c r="R63" s="3"/>
    </row>
    <row r="64" spans="1:18" x14ac:dyDescent="0.2">
      <c r="A64" s="2" t="s">
        <v>115</v>
      </c>
      <c r="B64" s="2" t="s">
        <v>39</v>
      </c>
      <c r="C64" s="2">
        <v>4</v>
      </c>
      <c r="D64" s="2" t="s">
        <v>20</v>
      </c>
      <c r="E64" s="2" t="s">
        <v>140</v>
      </c>
      <c r="F64" s="2" t="s">
        <v>141</v>
      </c>
      <c r="G64" s="2" t="s">
        <v>23</v>
      </c>
      <c r="H64" s="2" t="s">
        <v>23</v>
      </c>
      <c r="I64" s="2">
        <v>4</v>
      </c>
      <c r="J64" s="2">
        <v>3.7</v>
      </c>
      <c r="K64" s="2" t="s">
        <v>24</v>
      </c>
      <c r="L64" s="2" t="s">
        <v>24</v>
      </c>
      <c r="M64" s="2" t="s">
        <v>24</v>
      </c>
      <c r="N64" s="2"/>
      <c r="O64" s="2"/>
      <c r="P64" s="2" t="s">
        <v>25</v>
      </c>
      <c r="Q64" s="3"/>
      <c r="R64" s="3"/>
    </row>
    <row r="65" spans="1:18" ht="42" x14ac:dyDescent="0.2">
      <c r="A65" s="4" t="s">
        <v>115</v>
      </c>
      <c r="B65" s="4" t="s">
        <v>39</v>
      </c>
      <c r="C65" s="4">
        <v>5</v>
      </c>
      <c r="D65" s="4" t="s">
        <v>20</v>
      </c>
      <c r="E65" s="4" t="s">
        <v>142</v>
      </c>
      <c r="F65" s="4" t="s">
        <v>143</v>
      </c>
      <c r="G65" s="4" t="s">
        <v>23</v>
      </c>
      <c r="H65" s="4" t="s">
        <v>23</v>
      </c>
      <c r="I65" s="4">
        <v>5.7</v>
      </c>
      <c r="J65" s="4">
        <v>8.3000000000000007</v>
      </c>
      <c r="K65" s="4" t="s">
        <v>24</v>
      </c>
      <c r="L65" s="4" t="s">
        <v>24</v>
      </c>
      <c r="M65" s="4" t="s">
        <v>24</v>
      </c>
      <c r="N65" s="4" t="s">
        <v>144</v>
      </c>
      <c r="O65" s="4" t="s">
        <v>36</v>
      </c>
      <c r="P65" s="4" t="s">
        <v>25</v>
      </c>
      <c r="Q65" s="18" t="s">
        <v>24</v>
      </c>
      <c r="R65" s="3"/>
    </row>
    <row r="66" spans="1:18" ht="56" x14ac:dyDescent="0.2">
      <c r="A66" s="2" t="s">
        <v>115</v>
      </c>
      <c r="B66" s="2" t="s">
        <v>39</v>
      </c>
      <c r="C66" s="2">
        <v>6</v>
      </c>
      <c r="D66" s="2" t="s">
        <v>31</v>
      </c>
      <c r="E66" s="2" t="s">
        <v>128</v>
      </c>
      <c r="F66" s="2" t="s">
        <v>145</v>
      </c>
      <c r="G66" s="2" t="s">
        <v>34</v>
      </c>
      <c r="H66" s="2" t="s">
        <v>23</v>
      </c>
      <c r="I66" s="2">
        <v>14</v>
      </c>
      <c r="J66" s="2">
        <v>18.2</v>
      </c>
      <c r="K66" s="2" t="s">
        <v>24</v>
      </c>
      <c r="L66" s="2" t="s">
        <v>24</v>
      </c>
      <c r="M66" s="2" t="s">
        <v>24</v>
      </c>
      <c r="N66" s="2"/>
      <c r="O66" s="2"/>
      <c r="P66" s="2" t="s">
        <v>25</v>
      </c>
      <c r="Q66" s="3"/>
      <c r="R66" s="3"/>
    </row>
    <row r="67" spans="1:18" ht="70" x14ac:dyDescent="0.2">
      <c r="A67" s="2" t="s">
        <v>115</v>
      </c>
      <c r="B67" s="2" t="s">
        <v>39</v>
      </c>
      <c r="C67" s="2">
        <v>7</v>
      </c>
      <c r="D67" s="2" t="s">
        <v>31</v>
      </c>
      <c r="E67" s="2" t="s">
        <v>130</v>
      </c>
      <c r="F67" s="2" t="s">
        <v>146</v>
      </c>
      <c r="G67" s="2" t="s">
        <v>34</v>
      </c>
      <c r="H67" s="2" t="s">
        <v>23</v>
      </c>
      <c r="I67" s="2">
        <v>17.8</v>
      </c>
      <c r="J67" s="2">
        <v>20.3</v>
      </c>
      <c r="K67" s="2" t="s">
        <v>24</v>
      </c>
      <c r="L67" s="2" t="s">
        <v>24</v>
      </c>
      <c r="M67" s="2" t="s">
        <v>24</v>
      </c>
      <c r="N67" s="2"/>
      <c r="O67" s="2"/>
      <c r="P67" s="2" t="s">
        <v>25</v>
      </c>
      <c r="Q67" s="3"/>
      <c r="R67" s="3"/>
    </row>
    <row r="68" spans="1:18" ht="56" x14ac:dyDescent="0.2">
      <c r="A68" s="2" t="s">
        <v>115</v>
      </c>
      <c r="B68" s="2" t="s">
        <v>39</v>
      </c>
      <c r="C68" s="2">
        <v>8</v>
      </c>
      <c r="D68" s="2" t="s">
        <v>31</v>
      </c>
      <c r="E68" s="2" t="s">
        <v>132</v>
      </c>
      <c r="F68" s="2" t="s">
        <v>147</v>
      </c>
      <c r="G68" s="2" t="s">
        <v>34</v>
      </c>
      <c r="H68" s="2" t="s">
        <v>23</v>
      </c>
      <c r="I68" s="2">
        <v>15</v>
      </c>
      <c r="J68" s="2">
        <v>13.3</v>
      </c>
      <c r="K68" s="2" t="s">
        <v>24</v>
      </c>
      <c r="L68" s="2" t="s">
        <v>24</v>
      </c>
      <c r="M68" s="2" t="s">
        <v>24</v>
      </c>
      <c r="N68" s="2"/>
      <c r="O68" s="2"/>
      <c r="P68" s="2" t="s">
        <v>25</v>
      </c>
      <c r="Q68" s="3"/>
      <c r="R68" s="3"/>
    </row>
    <row r="69" spans="1:18" ht="56" x14ac:dyDescent="0.2">
      <c r="A69" s="2" t="s">
        <v>115</v>
      </c>
      <c r="B69" s="2" t="s">
        <v>39</v>
      </c>
      <c r="C69" s="2">
        <v>9</v>
      </c>
      <c r="D69" s="2" t="s">
        <v>31</v>
      </c>
      <c r="E69" s="2" t="s">
        <v>134</v>
      </c>
      <c r="F69" s="2" t="s">
        <v>148</v>
      </c>
      <c r="G69" s="2" t="s">
        <v>34</v>
      </c>
      <c r="H69" s="2" t="s">
        <v>23</v>
      </c>
      <c r="I69" s="2">
        <v>14.4</v>
      </c>
      <c r="J69" s="2">
        <v>19.100000000000001</v>
      </c>
      <c r="K69" s="2" t="s">
        <v>24</v>
      </c>
      <c r="L69" s="2" t="s">
        <v>24</v>
      </c>
      <c r="M69" s="2" t="s">
        <v>24</v>
      </c>
      <c r="N69" s="2"/>
      <c r="O69" s="2"/>
      <c r="P69" s="2" t="s">
        <v>25</v>
      </c>
      <c r="Q69" s="3"/>
      <c r="R69" s="3"/>
    </row>
    <row r="70" spans="1:18" ht="42" x14ac:dyDescent="0.2">
      <c r="A70" s="2" t="s">
        <v>115</v>
      </c>
      <c r="B70" s="2" t="s">
        <v>39</v>
      </c>
      <c r="C70" s="2">
        <v>10</v>
      </c>
      <c r="D70" s="2" t="s">
        <v>31</v>
      </c>
      <c r="E70" s="2" t="s">
        <v>136</v>
      </c>
      <c r="F70" s="2" t="s">
        <v>149</v>
      </c>
      <c r="G70" s="2" t="s">
        <v>34</v>
      </c>
      <c r="H70" s="2" t="s">
        <v>23</v>
      </c>
      <c r="I70" s="2">
        <v>15.5</v>
      </c>
      <c r="J70" s="2">
        <v>14</v>
      </c>
      <c r="K70" s="2" t="s">
        <v>24</v>
      </c>
      <c r="L70" s="2" t="s">
        <v>24</v>
      </c>
      <c r="M70" s="2" t="s">
        <v>24</v>
      </c>
      <c r="N70" s="2"/>
      <c r="O70" s="2"/>
      <c r="P70" s="2" t="s">
        <v>25</v>
      </c>
      <c r="Q70" s="3"/>
      <c r="R70" s="3"/>
    </row>
    <row r="71" spans="1:18" ht="28" x14ac:dyDescent="0.2">
      <c r="A71" s="2" t="s">
        <v>150</v>
      </c>
      <c r="B71" s="2" t="s">
        <v>19</v>
      </c>
      <c r="C71" s="2">
        <v>1</v>
      </c>
      <c r="D71" s="2" t="s">
        <v>20</v>
      </c>
      <c r="E71" s="2" t="s">
        <v>151</v>
      </c>
      <c r="F71" s="2" t="s">
        <v>152</v>
      </c>
      <c r="G71" s="2" t="s">
        <v>23</v>
      </c>
      <c r="H71" s="2" t="s">
        <v>23</v>
      </c>
      <c r="I71" s="2">
        <v>3.7</v>
      </c>
      <c r="J71" s="2">
        <v>0.6</v>
      </c>
      <c r="K71" s="2" t="s">
        <v>24</v>
      </c>
      <c r="L71" s="2" t="s">
        <v>24</v>
      </c>
      <c r="M71" s="2" t="s">
        <v>24</v>
      </c>
      <c r="N71" s="2"/>
      <c r="O71" s="2"/>
      <c r="P71" s="2" t="s">
        <v>25</v>
      </c>
      <c r="Q71" s="3"/>
      <c r="R71" s="3"/>
    </row>
    <row r="72" spans="1:18" ht="56" x14ac:dyDescent="0.2">
      <c r="A72" s="2" t="s">
        <v>150</v>
      </c>
      <c r="B72" s="2" t="s">
        <v>19</v>
      </c>
      <c r="C72" s="2">
        <v>2</v>
      </c>
      <c r="D72" s="2" t="s">
        <v>20</v>
      </c>
      <c r="E72" s="2" t="s">
        <v>153</v>
      </c>
      <c r="F72" s="2" t="s">
        <v>48</v>
      </c>
      <c r="G72" s="2" t="s">
        <v>23</v>
      </c>
      <c r="H72" s="2" t="s">
        <v>23</v>
      </c>
      <c r="I72" s="2">
        <v>22.9</v>
      </c>
      <c r="J72" s="2">
        <v>11.2</v>
      </c>
      <c r="K72" s="2" t="s">
        <v>24</v>
      </c>
      <c r="L72" s="2" t="s">
        <v>24</v>
      </c>
      <c r="M72" s="2" t="s">
        <v>24</v>
      </c>
      <c r="N72" s="2"/>
      <c r="O72" s="2"/>
      <c r="P72" s="2" t="s">
        <v>25</v>
      </c>
      <c r="Q72" s="3"/>
      <c r="R72" s="3"/>
    </row>
    <row r="73" spans="1:18" ht="42" x14ac:dyDescent="0.2">
      <c r="A73" s="2" t="s">
        <v>150</v>
      </c>
      <c r="B73" s="2" t="s">
        <v>26</v>
      </c>
      <c r="C73" s="2">
        <v>3</v>
      </c>
      <c r="D73" s="2" t="s">
        <v>20</v>
      </c>
      <c r="E73" s="2" t="s">
        <v>154</v>
      </c>
      <c r="F73" s="2" t="s">
        <v>155</v>
      </c>
      <c r="G73" s="2" t="s">
        <v>23</v>
      </c>
      <c r="H73" s="2" t="s">
        <v>23</v>
      </c>
      <c r="I73" s="2">
        <v>7.6</v>
      </c>
      <c r="J73" s="2">
        <v>9.6999999999999993</v>
      </c>
      <c r="K73" s="2" t="s">
        <v>24</v>
      </c>
      <c r="L73" s="2" t="s">
        <v>24</v>
      </c>
      <c r="M73" s="2" t="s">
        <v>24</v>
      </c>
      <c r="N73" s="2"/>
      <c r="O73" s="2"/>
      <c r="P73" s="2" t="s">
        <v>25</v>
      </c>
      <c r="Q73" s="3"/>
      <c r="R73" s="3"/>
    </row>
    <row r="74" spans="1:18" ht="42" x14ac:dyDescent="0.2">
      <c r="A74" s="2" t="s">
        <v>150</v>
      </c>
      <c r="B74" s="2" t="s">
        <v>26</v>
      </c>
      <c r="C74" s="2">
        <v>4</v>
      </c>
      <c r="D74" s="2" t="s">
        <v>20</v>
      </c>
      <c r="E74" s="2" t="s">
        <v>156</v>
      </c>
      <c r="F74" s="2" t="s">
        <v>157</v>
      </c>
      <c r="G74" s="2" t="s">
        <v>23</v>
      </c>
      <c r="H74" s="2" t="s">
        <v>23</v>
      </c>
      <c r="I74" s="2">
        <v>11.1</v>
      </c>
      <c r="J74" s="2">
        <v>3.4</v>
      </c>
      <c r="K74" s="2" t="s">
        <v>24</v>
      </c>
      <c r="L74" s="2" t="s">
        <v>24</v>
      </c>
      <c r="M74" s="2" t="s">
        <v>24</v>
      </c>
      <c r="N74" s="2"/>
      <c r="O74" s="2"/>
      <c r="P74" s="2" t="s">
        <v>25</v>
      </c>
      <c r="Q74" s="3"/>
      <c r="R74" s="3"/>
    </row>
    <row r="75" spans="1:18" ht="28" x14ac:dyDescent="0.2">
      <c r="A75" s="2" t="s">
        <v>150</v>
      </c>
      <c r="B75" s="2" t="s">
        <v>26</v>
      </c>
      <c r="C75" s="2">
        <v>5</v>
      </c>
      <c r="D75" s="2" t="s">
        <v>20</v>
      </c>
      <c r="E75" s="2" t="s">
        <v>158</v>
      </c>
      <c r="F75" s="2" t="s">
        <v>159</v>
      </c>
      <c r="G75" s="2" t="s">
        <v>34</v>
      </c>
      <c r="H75" s="2" t="s">
        <v>23</v>
      </c>
      <c r="I75" s="2">
        <v>9.6999999999999993</v>
      </c>
      <c r="J75" s="2">
        <v>1.6</v>
      </c>
      <c r="K75" s="2" t="s">
        <v>24</v>
      </c>
      <c r="L75" s="2" t="s">
        <v>24</v>
      </c>
      <c r="M75" s="2" t="s">
        <v>24</v>
      </c>
      <c r="N75" s="2"/>
      <c r="O75" s="2"/>
      <c r="P75" s="2" t="s">
        <v>25</v>
      </c>
      <c r="Q75" s="3"/>
      <c r="R75" s="3"/>
    </row>
    <row r="76" spans="1:18" x14ac:dyDescent="0.2">
      <c r="A76" s="2" t="s">
        <v>150</v>
      </c>
      <c r="B76" s="2" t="s">
        <v>26</v>
      </c>
      <c r="C76" s="2">
        <v>6</v>
      </c>
      <c r="D76" s="2" t="s">
        <v>31</v>
      </c>
      <c r="E76" s="2" t="s">
        <v>160</v>
      </c>
      <c r="F76" s="2" t="s">
        <v>161</v>
      </c>
      <c r="G76" s="2" t="s">
        <v>34</v>
      </c>
      <c r="H76" s="2" t="s">
        <v>23</v>
      </c>
      <c r="I76" s="2">
        <v>-1.4</v>
      </c>
      <c r="J76" s="2">
        <v>-1.1000000000000001</v>
      </c>
      <c r="K76" s="2" t="s">
        <v>24</v>
      </c>
      <c r="L76" s="2" t="s">
        <v>24</v>
      </c>
      <c r="M76" s="2" t="s">
        <v>24</v>
      </c>
      <c r="N76" s="2"/>
      <c r="O76" s="2"/>
      <c r="P76" s="2" t="s">
        <v>25</v>
      </c>
      <c r="Q76" s="3"/>
      <c r="R76" s="3"/>
    </row>
    <row r="77" spans="1:18" ht="56" x14ac:dyDescent="0.2">
      <c r="A77" s="2" t="s">
        <v>150</v>
      </c>
      <c r="B77" s="2" t="s">
        <v>26</v>
      </c>
      <c r="C77" s="2">
        <v>7</v>
      </c>
      <c r="D77" s="2" t="s">
        <v>31</v>
      </c>
      <c r="E77" s="2" t="s">
        <v>162</v>
      </c>
      <c r="F77" s="2" t="s">
        <v>163</v>
      </c>
      <c r="G77" s="2" t="s">
        <v>34</v>
      </c>
      <c r="H77" s="2" t="s">
        <v>23</v>
      </c>
      <c r="I77" s="2">
        <v>15.8</v>
      </c>
      <c r="J77" s="2">
        <v>13.5</v>
      </c>
      <c r="K77" s="2" t="s">
        <v>24</v>
      </c>
      <c r="L77" s="2" t="s">
        <v>24</v>
      </c>
      <c r="M77" s="2" t="s">
        <v>24</v>
      </c>
      <c r="N77" s="2"/>
      <c r="O77" s="2"/>
      <c r="P77" s="2" t="s">
        <v>25</v>
      </c>
      <c r="Q77" s="3"/>
      <c r="R77" s="3"/>
    </row>
    <row r="78" spans="1:18" ht="28" x14ac:dyDescent="0.2">
      <c r="A78" s="2" t="s">
        <v>150</v>
      </c>
      <c r="B78" s="2" t="s">
        <v>26</v>
      </c>
      <c r="C78" s="2">
        <v>8</v>
      </c>
      <c r="D78" s="2" t="s">
        <v>31</v>
      </c>
      <c r="E78" s="2" t="s">
        <v>164</v>
      </c>
      <c r="F78" s="2" t="s">
        <v>165</v>
      </c>
      <c r="G78" s="2" t="s">
        <v>34</v>
      </c>
      <c r="H78" s="2" t="s">
        <v>23</v>
      </c>
      <c r="I78" s="2">
        <v>24.1</v>
      </c>
      <c r="J78" s="2">
        <v>11.9</v>
      </c>
      <c r="K78" s="2" t="s">
        <v>24</v>
      </c>
      <c r="L78" s="2" t="s">
        <v>24</v>
      </c>
      <c r="M78" s="2" t="s">
        <v>24</v>
      </c>
      <c r="N78" s="2"/>
      <c r="O78" s="2"/>
      <c r="P78" s="2" t="s">
        <v>25</v>
      </c>
      <c r="Q78" s="3"/>
      <c r="R78" s="3"/>
    </row>
    <row r="79" spans="1:18" ht="42" x14ac:dyDescent="0.2">
      <c r="A79" s="2" t="s">
        <v>150</v>
      </c>
      <c r="B79" s="2" t="s">
        <v>26</v>
      </c>
      <c r="C79" s="2">
        <v>9</v>
      </c>
      <c r="D79" s="2" t="s">
        <v>31</v>
      </c>
      <c r="E79" s="2" t="s">
        <v>166</v>
      </c>
      <c r="F79" s="2" t="s">
        <v>167</v>
      </c>
      <c r="G79" s="2" t="s">
        <v>34</v>
      </c>
      <c r="H79" s="2" t="s">
        <v>23</v>
      </c>
      <c r="I79" s="2">
        <v>18.7</v>
      </c>
      <c r="J79" s="2">
        <v>12.3</v>
      </c>
      <c r="K79" s="2" t="s">
        <v>24</v>
      </c>
      <c r="L79" s="2" t="s">
        <v>24</v>
      </c>
      <c r="M79" s="2" t="s">
        <v>24</v>
      </c>
      <c r="N79" s="2"/>
      <c r="O79" s="2"/>
      <c r="P79" s="2" t="s">
        <v>25</v>
      </c>
      <c r="Q79" s="3"/>
      <c r="R79" s="3"/>
    </row>
    <row r="80" spans="1:18" ht="28" x14ac:dyDescent="0.2">
      <c r="A80" s="2" t="s">
        <v>150</v>
      </c>
      <c r="B80" s="2" t="s">
        <v>26</v>
      </c>
      <c r="C80" s="2">
        <v>10</v>
      </c>
      <c r="D80" s="2" t="s">
        <v>31</v>
      </c>
      <c r="E80" s="2" t="s">
        <v>168</v>
      </c>
      <c r="F80" s="2" t="s">
        <v>169</v>
      </c>
      <c r="G80" s="2" t="s">
        <v>34</v>
      </c>
      <c r="H80" s="2" t="s">
        <v>23</v>
      </c>
      <c r="I80" s="2">
        <v>12.3</v>
      </c>
      <c r="J80" s="2">
        <v>7.6</v>
      </c>
      <c r="K80" s="2" t="s">
        <v>24</v>
      </c>
      <c r="L80" s="2" t="s">
        <v>24</v>
      </c>
      <c r="M80" s="2" t="s">
        <v>24</v>
      </c>
      <c r="N80" s="2"/>
      <c r="O80" s="2"/>
      <c r="P80" s="2" t="s">
        <v>25</v>
      </c>
      <c r="Q80" s="3"/>
      <c r="R80" s="3"/>
    </row>
    <row r="81" spans="1:18" ht="42" x14ac:dyDescent="0.2">
      <c r="A81" s="2" t="s">
        <v>150</v>
      </c>
      <c r="B81" s="2" t="s">
        <v>39</v>
      </c>
      <c r="C81" s="2">
        <v>3</v>
      </c>
      <c r="D81" s="2" t="s">
        <v>20</v>
      </c>
      <c r="E81" s="2" t="s">
        <v>154</v>
      </c>
      <c r="F81" s="2" t="s">
        <v>170</v>
      </c>
      <c r="G81" s="2" t="s">
        <v>23</v>
      </c>
      <c r="H81" s="2" t="s">
        <v>23</v>
      </c>
      <c r="I81" s="2">
        <v>7.6</v>
      </c>
      <c r="J81" s="2">
        <v>12.3</v>
      </c>
      <c r="K81" s="2" t="s">
        <v>24</v>
      </c>
      <c r="L81" s="2" t="s">
        <v>24</v>
      </c>
      <c r="M81" s="2" t="s">
        <v>24</v>
      </c>
      <c r="N81" s="2"/>
      <c r="O81" s="2"/>
      <c r="P81" s="2" t="s">
        <v>25</v>
      </c>
      <c r="Q81" s="3"/>
      <c r="R81" s="3"/>
    </row>
    <row r="82" spans="1:18" ht="28" x14ac:dyDescent="0.2">
      <c r="A82" s="2" t="s">
        <v>150</v>
      </c>
      <c r="B82" s="2" t="s">
        <v>39</v>
      </c>
      <c r="C82" s="2">
        <v>4</v>
      </c>
      <c r="D82" s="2" t="s">
        <v>20</v>
      </c>
      <c r="E82" s="2" t="s">
        <v>158</v>
      </c>
      <c r="F82" s="2" t="s">
        <v>171</v>
      </c>
      <c r="G82" s="2" t="s">
        <v>34</v>
      </c>
      <c r="H82" s="2" t="s">
        <v>23</v>
      </c>
      <c r="I82" s="2">
        <v>9.6999999999999993</v>
      </c>
      <c r="J82" s="2">
        <v>2.6</v>
      </c>
      <c r="K82" s="2" t="s">
        <v>24</v>
      </c>
      <c r="L82" s="2" t="s">
        <v>24</v>
      </c>
      <c r="M82" s="2" t="s">
        <v>24</v>
      </c>
      <c r="N82" s="2"/>
      <c r="O82" s="2"/>
      <c r="P82" s="2" t="s">
        <v>25</v>
      </c>
      <c r="Q82" s="3"/>
      <c r="R82" s="3"/>
    </row>
    <row r="83" spans="1:18" ht="42" x14ac:dyDescent="0.2">
      <c r="A83" s="2" t="s">
        <v>150</v>
      </c>
      <c r="B83" s="2" t="s">
        <v>39</v>
      </c>
      <c r="C83" s="2">
        <v>5</v>
      </c>
      <c r="D83" s="2" t="s">
        <v>20</v>
      </c>
      <c r="E83" s="2" t="s">
        <v>156</v>
      </c>
      <c r="F83" s="2" t="s">
        <v>172</v>
      </c>
      <c r="G83" s="2" t="s">
        <v>23</v>
      </c>
      <c r="H83" s="2" t="s">
        <v>23</v>
      </c>
      <c r="I83" s="2">
        <v>11.1</v>
      </c>
      <c r="J83" s="2">
        <v>10.199999999999999</v>
      </c>
      <c r="K83" s="2" t="s">
        <v>24</v>
      </c>
      <c r="L83" s="2" t="s">
        <v>24</v>
      </c>
      <c r="M83" s="2" t="s">
        <v>24</v>
      </c>
      <c r="N83" s="2"/>
      <c r="O83" s="2"/>
      <c r="P83" s="2" t="s">
        <v>25</v>
      </c>
      <c r="Q83" s="3"/>
      <c r="R83" s="3"/>
    </row>
    <row r="84" spans="1:18" x14ac:dyDescent="0.2">
      <c r="A84" s="2" t="s">
        <v>150</v>
      </c>
      <c r="B84" s="2" t="s">
        <v>39</v>
      </c>
      <c r="C84" s="2">
        <v>6</v>
      </c>
      <c r="D84" s="2" t="s">
        <v>31</v>
      </c>
      <c r="E84" s="2" t="s">
        <v>160</v>
      </c>
      <c r="F84" s="2" t="s">
        <v>173</v>
      </c>
      <c r="G84" s="2" t="s">
        <v>23</v>
      </c>
      <c r="H84" s="2" t="s">
        <v>23</v>
      </c>
      <c r="I84" s="2">
        <v>-1.4</v>
      </c>
      <c r="J84" s="2">
        <v>-1.1000000000000001</v>
      </c>
      <c r="K84" s="2" t="s">
        <v>24</v>
      </c>
      <c r="L84" s="2" t="s">
        <v>24</v>
      </c>
      <c r="M84" s="2" t="s">
        <v>24</v>
      </c>
      <c r="N84" s="2"/>
      <c r="O84" s="2"/>
      <c r="P84" s="2" t="s">
        <v>25</v>
      </c>
      <c r="Q84" s="3"/>
      <c r="R84" s="3"/>
    </row>
    <row r="85" spans="1:18" ht="42" x14ac:dyDescent="0.2">
      <c r="A85" s="5" t="s">
        <v>150</v>
      </c>
      <c r="B85" s="5" t="s">
        <v>39</v>
      </c>
      <c r="C85" s="5">
        <v>7</v>
      </c>
      <c r="D85" s="5" t="s">
        <v>31</v>
      </c>
      <c r="E85" s="5" t="s">
        <v>162</v>
      </c>
      <c r="F85" s="5" t="s">
        <v>174</v>
      </c>
      <c r="G85" s="5" t="s">
        <v>34</v>
      </c>
      <c r="H85" s="5" t="s">
        <v>23</v>
      </c>
      <c r="I85" s="5">
        <v>15.8</v>
      </c>
      <c r="J85" s="5">
        <v>9.3000000000000007</v>
      </c>
      <c r="K85" s="5" t="s">
        <v>125</v>
      </c>
      <c r="L85" s="5" t="s">
        <v>24</v>
      </c>
      <c r="M85" s="5" t="s">
        <v>24</v>
      </c>
      <c r="N85" s="5" t="s">
        <v>175</v>
      </c>
      <c r="O85" s="5" t="s">
        <v>127</v>
      </c>
      <c r="P85" s="5" t="s">
        <v>25</v>
      </c>
      <c r="Q85" s="18" t="s">
        <v>24</v>
      </c>
      <c r="R85" s="3"/>
    </row>
    <row r="86" spans="1:18" ht="28" x14ac:dyDescent="0.2">
      <c r="A86" s="2" t="s">
        <v>150</v>
      </c>
      <c r="B86" s="2" t="s">
        <v>39</v>
      </c>
      <c r="C86" s="2">
        <v>8</v>
      </c>
      <c r="D86" s="2" t="s">
        <v>31</v>
      </c>
      <c r="E86" s="2" t="s">
        <v>164</v>
      </c>
      <c r="F86" s="2" t="s">
        <v>176</v>
      </c>
      <c r="G86" s="2" t="s">
        <v>34</v>
      </c>
      <c r="H86" s="2" t="s">
        <v>23</v>
      </c>
      <c r="I86" s="2">
        <v>24.1</v>
      </c>
      <c r="J86" s="2">
        <v>7.6</v>
      </c>
      <c r="K86" s="2" t="s">
        <v>24</v>
      </c>
      <c r="L86" s="2" t="s">
        <v>24</v>
      </c>
      <c r="M86" s="2" t="s">
        <v>24</v>
      </c>
      <c r="N86" s="2"/>
      <c r="O86" s="2"/>
      <c r="P86" s="2" t="s">
        <v>25</v>
      </c>
      <c r="Q86" s="3"/>
      <c r="R86" s="3"/>
    </row>
    <row r="87" spans="1:18" ht="42" x14ac:dyDescent="0.2">
      <c r="A87" s="2" t="s">
        <v>150</v>
      </c>
      <c r="B87" s="2" t="s">
        <v>39</v>
      </c>
      <c r="C87" s="2">
        <v>9</v>
      </c>
      <c r="D87" s="2" t="s">
        <v>31</v>
      </c>
      <c r="E87" s="2" t="s">
        <v>168</v>
      </c>
      <c r="F87" s="2" t="s">
        <v>177</v>
      </c>
      <c r="G87" s="2" t="s">
        <v>34</v>
      </c>
      <c r="H87" s="2" t="s">
        <v>23</v>
      </c>
      <c r="I87" s="2">
        <v>12.3</v>
      </c>
      <c r="J87" s="2">
        <v>12.4</v>
      </c>
      <c r="K87" s="2" t="s">
        <v>24</v>
      </c>
      <c r="L87" s="2" t="s">
        <v>24</v>
      </c>
      <c r="M87" s="2" t="s">
        <v>24</v>
      </c>
      <c r="N87" s="2"/>
      <c r="O87" s="2"/>
      <c r="P87" s="2" t="s">
        <v>25</v>
      </c>
      <c r="Q87" s="3"/>
      <c r="R87" s="3"/>
    </row>
    <row r="88" spans="1:18" x14ac:dyDescent="0.2">
      <c r="A88" s="2" t="s">
        <v>150</v>
      </c>
      <c r="B88" s="2" t="s">
        <v>39</v>
      </c>
      <c r="C88" s="2">
        <v>10</v>
      </c>
      <c r="D88" s="2" t="s">
        <v>31</v>
      </c>
      <c r="E88" s="2" t="s">
        <v>178</v>
      </c>
      <c r="F88" s="2" t="s">
        <v>179</v>
      </c>
      <c r="G88" s="2" t="s">
        <v>34</v>
      </c>
      <c r="H88" s="2" t="s">
        <v>23</v>
      </c>
      <c r="I88" s="2">
        <v>11.1</v>
      </c>
      <c r="J88" s="2">
        <v>4.8</v>
      </c>
      <c r="K88" s="2" t="s">
        <v>24</v>
      </c>
      <c r="L88" s="2" t="s">
        <v>24</v>
      </c>
      <c r="M88" s="2" t="s">
        <v>24</v>
      </c>
      <c r="N88" s="2"/>
      <c r="O88" s="2"/>
      <c r="P88" s="2" t="s">
        <v>25</v>
      </c>
      <c r="Q88" s="3"/>
      <c r="R88" s="3"/>
    </row>
    <row r="89" spans="1:18" ht="28" x14ac:dyDescent="0.2">
      <c r="A89" s="2" t="s">
        <v>180</v>
      </c>
      <c r="B89" s="2" t="s">
        <v>19</v>
      </c>
      <c r="C89" s="2">
        <v>1</v>
      </c>
      <c r="D89" s="2" t="s">
        <v>20</v>
      </c>
      <c r="E89" s="2" t="s">
        <v>181</v>
      </c>
      <c r="F89" s="2" t="s">
        <v>182</v>
      </c>
      <c r="G89" s="2" t="s">
        <v>23</v>
      </c>
      <c r="H89" s="2" t="s">
        <v>23</v>
      </c>
      <c r="I89" s="2">
        <v>5.2</v>
      </c>
      <c r="J89" s="2">
        <v>0.8</v>
      </c>
      <c r="K89" s="2" t="s">
        <v>24</v>
      </c>
      <c r="L89" s="2" t="s">
        <v>24</v>
      </c>
      <c r="M89" s="2" t="s">
        <v>24</v>
      </c>
      <c r="N89" s="2"/>
      <c r="O89" s="2"/>
      <c r="P89" s="2" t="s">
        <v>25</v>
      </c>
      <c r="Q89" s="3"/>
      <c r="R89" s="3"/>
    </row>
    <row r="90" spans="1:18" ht="42" x14ac:dyDescent="0.2">
      <c r="A90" s="2" t="s">
        <v>180</v>
      </c>
      <c r="B90" s="2" t="s">
        <v>19</v>
      </c>
      <c r="C90" s="2">
        <v>2</v>
      </c>
      <c r="D90" s="2" t="s">
        <v>20</v>
      </c>
      <c r="E90" s="2" t="s">
        <v>183</v>
      </c>
      <c r="F90" s="2" t="s">
        <v>48</v>
      </c>
      <c r="G90" s="2" t="s">
        <v>23</v>
      </c>
      <c r="H90" s="2" t="s">
        <v>23</v>
      </c>
      <c r="I90" s="2">
        <v>13.1</v>
      </c>
      <c r="J90" s="2">
        <v>11.2</v>
      </c>
      <c r="K90" s="2" t="s">
        <v>24</v>
      </c>
      <c r="L90" s="2" t="s">
        <v>24</v>
      </c>
      <c r="M90" s="2" t="s">
        <v>24</v>
      </c>
      <c r="N90" s="2"/>
      <c r="O90" s="2"/>
      <c r="P90" s="2" t="s">
        <v>25</v>
      </c>
      <c r="Q90" s="3"/>
      <c r="R90" s="3"/>
    </row>
    <row r="91" spans="1:18" ht="42" x14ac:dyDescent="0.2">
      <c r="A91" s="2" t="s">
        <v>180</v>
      </c>
      <c r="B91" s="2" t="s">
        <v>26</v>
      </c>
      <c r="C91" s="2">
        <v>3</v>
      </c>
      <c r="D91" s="2" t="s">
        <v>20</v>
      </c>
      <c r="E91" s="2" t="s">
        <v>184</v>
      </c>
      <c r="F91" s="2" t="s">
        <v>185</v>
      </c>
      <c r="G91" s="2" t="s">
        <v>23</v>
      </c>
      <c r="H91" s="2" t="s">
        <v>23</v>
      </c>
      <c r="I91" s="2">
        <v>4.8</v>
      </c>
      <c r="J91" s="2">
        <v>4.3</v>
      </c>
      <c r="K91" s="2" t="s">
        <v>24</v>
      </c>
      <c r="L91" s="2" t="s">
        <v>24</v>
      </c>
      <c r="M91" s="2" t="s">
        <v>24</v>
      </c>
      <c r="N91" s="2"/>
      <c r="O91" s="2"/>
      <c r="P91" s="2" t="s">
        <v>25</v>
      </c>
      <c r="Q91" s="3"/>
      <c r="R91" s="3"/>
    </row>
    <row r="92" spans="1:18" ht="56" x14ac:dyDescent="0.2">
      <c r="A92" s="2" t="s">
        <v>180</v>
      </c>
      <c r="B92" s="2" t="s">
        <v>26</v>
      </c>
      <c r="C92" s="2">
        <v>4</v>
      </c>
      <c r="D92" s="2" t="s">
        <v>20</v>
      </c>
      <c r="E92" s="2" t="s">
        <v>186</v>
      </c>
      <c r="F92" s="2" t="s">
        <v>187</v>
      </c>
      <c r="G92" s="2" t="s">
        <v>23</v>
      </c>
      <c r="H92" s="2" t="s">
        <v>23</v>
      </c>
      <c r="I92" s="2">
        <v>10.3</v>
      </c>
      <c r="J92" s="2">
        <v>14.6</v>
      </c>
      <c r="K92" s="2" t="s">
        <v>24</v>
      </c>
      <c r="L92" s="2" t="s">
        <v>24</v>
      </c>
      <c r="M92" s="2" t="s">
        <v>24</v>
      </c>
      <c r="N92" s="2"/>
      <c r="O92" s="2"/>
      <c r="P92" s="2" t="s">
        <v>25</v>
      </c>
      <c r="Q92" s="3"/>
      <c r="R92" s="3"/>
    </row>
    <row r="93" spans="1:18" ht="28" x14ac:dyDescent="0.2">
      <c r="A93" s="2" t="s">
        <v>180</v>
      </c>
      <c r="B93" s="2" t="s">
        <v>26</v>
      </c>
      <c r="C93" s="2">
        <v>5</v>
      </c>
      <c r="D93" s="2" t="s">
        <v>20</v>
      </c>
      <c r="E93" s="2" t="s">
        <v>188</v>
      </c>
      <c r="F93" s="2" t="s">
        <v>189</v>
      </c>
      <c r="G93" s="2" t="s">
        <v>23</v>
      </c>
      <c r="H93" s="2" t="s">
        <v>23</v>
      </c>
      <c r="I93" s="2">
        <v>2.5</v>
      </c>
      <c r="J93" s="2">
        <v>6.7</v>
      </c>
      <c r="K93" s="2" t="s">
        <v>24</v>
      </c>
      <c r="L93" s="2" t="s">
        <v>24</v>
      </c>
      <c r="M93" s="2" t="s">
        <v>24</v>
      </c>
      <c r="N93" s="2"/>
      <c r="O93" s="2"/>
      <c r="P93" s="2" t="s">
        <v>25</v>
      </c>
      <c r="Q93" s="3"/>
      <c r="R93" s="3"/>
    </row>
    <row r="94" spans="1:18" ht="28" x14ac:dyDescent="0.2">
      <c r="A94" s="2" t="s">
        <v>180</v>
      </c>
      <c r="B94" s="2" t="s">
        <v>26</v>
      </c>
      <c r="C94" s="2">
        <v>6</v>
      </c>
      <c r="D94" s="2" t="s">
        <v>20</v>
      </c>
      <c r="E94" s="2" t="s">
        <v>190</v>
      </c>
      <c r="F94" s="2" t="s">
        <v>191</v>
      </c>
      <c r="G94" s="2" t="s">
        <v>23</v>
      </c>
      <c r="H94" s="2" t="s">
        <v>23</v>
      </c>
      <c r="I94" s="2">
        <v>4.8</v>
      </c>
      <c r="J94" s="2">
        <v>6.4</v>
      </c>
      <c r="K94" s="2" t="s">
        <v>24</v>
      </c>
      <c r="L94" s="2" t="s">
        <v>24</v>
      </c>
      <c r="M94" s="2" t="s">
        <v>24</v>
      </c>
      <c r="N94" s="2"/>
      <c r="O94" s="2"/>
      <c r="P94" s="2" t="s">
        <v>25</v>
      </c>
      <c r="Q94" s="3"/>
      <c r="R94" s="3"/>
    </row>
    <row r="95" spans="1:18" ht="42" x14ac:dyDescent="0.2">
      <c r="A95" s="5" t="s">
        <v>180</v>
      </c>
      <c r="B95" s="5" t="s">
        <v>26</v>
      </c>
      <c r="C95" s="5">
        <v>7</v>
      </c>
      <c r="D95" s="5" t="s">
        <v>31</v>
      </c>
      <c r="E95" s="5" t="s">
        <v>192</v>
      </c>
      <c r="F95" s="5" t="s">
        <v>193</v>
      </c>
      <c r="G95" s="5" t="s">
        <v>34</v>
      </c>
      <c r="H95" s="5" t="s">
        <v>23</v>
      </c>
      <c r="I95" s="5">
        <v>13.7</v>
      </c>
      <c r="J95" s="5">
        <v>13.5</v>
      </c>
      <c r="K95" s="5" t="s">
        <v>125</v>
      </c>
      <c r="L95" s="5" t="s">
        <v>24</v>
      </c>
      <c r="M95" s="5" t="s">
        <v>24</v>
      </c>
      <c r="N95" s="5" t="s">
        <v>194</v>
      </c>
      <c r="O95" s="5" t="s">
        <v>127</v>
      </c>
      <c r="P95" s="5" t="s">
        <v>25</v>
      </c>
      <c r="Q95" s="18" t="s">
        <v>24</v>
      </c>
      <c r="R95" s="3"/>
    </row>
    <row r="96" spans="1:18" ht="56" x14ac:dyDescent="0.2">
      <c r="A96" s="2" t="s">
        <v>180</v>
      </c>
      <c r="B96" s="2" t="s">
        <v>26</v>
      </c>
      <c r="C96" s="2">
        <v>8</v>
      </c>
      <c r="D96" s="2" t="s">
        <v>31</v>
      </c>
      <c r="E96" s="2" t="s">
        <v>195</v>
      </c>
      <c r="F96" s="2" t="s">
        <v>196</v>
      </c>
      <c r="G96" s="2" t="s">
        <v>34</v>
      </c>
      <c r="H96" s="2" t="s">
        <v>23</v>
      </c>
      <c r="I96" s="2">
        <v>17.8</v>
      </c>
      <c r="J96" s="2">
        <v>15.2</v>
      </c>
      <c r="K96" s="2" t="s">
        <v>24</v>
      </c>
      <c r="L96" s="2" t="s">
        <v>24</v>
      </c>
      <c r="M96" s="2" t="s">
        <v>24</v>
      </c>
      <c r="N96" s="2"/>
      <c r="O96" s="2"/>
      <c r="P96" s="2" t="s">
        <v>25</v>
      </c>
      <c r="Q96" s="3"/>
      <c r="R96" s="3"/>
    </row>
    <row r="97" spans="1:18" ht="56" x14ac:dyDescent="0.2">
      <c r="A97" s="5" t="s">
        <v>180</v>
      </c>
      <c r="B97" s="5" t="s">
        <v>26</v>
      </c>
      <c r="C97" s="5">
        <v>9</v>
      </c>
      <c r="D97" s="5" t="s">
        <v>31</v>
      </c>
      <c r="E97" s="5" t="s">
        <v>197</v>
      </c>
      <c r="F97" s="5" t="s">
        <v>198</v>
      </c>
      <c r="G97" s="5" t="s">
        <v>34</v>
      </c>
      <c r="H97" s="5" t="s">
        <v>23</v>
      </c>
      <c r="I97" s="5">
        <v>14.6</v>
      </c>
      <c r="J97" s="5">
        <v>17.8</v>
      </c>
      <c r="K97" s="5" t="s">
        <v>125</v>
      </c>
      <c r="L97" s="5" t="s">
        <v>24</v>
      </c>
      <c r="M97" s="5" t="s">
        <v>24</v>
      </c>
      <c r="N97" s="5" t="s">
        <v>199</v>
      </c>
      <c r="O97" s="5" t="s">
        <v>127</v>
      </c>
      <c r="P97" s="5" t="s">
        <v>25</v>
      </c>
      <c r="Q97" s="18" t="s">
        <v>24</v>
      </c>
      <c r="R97" s="3"/>
    </row>
    <row r="98" spans="1:18" ht="56" x14ac:dyDescent="0.2">
      <c r="A98" s="2" t="s">
        <v>180</v>
      </c>
      <c r="B98" s="2" t="s">
        <v>26</v>
      </c>
      <c r="C98" s="2">
        <v>10</v>
      </c>
      <c r="D98" s="2" t="s">
        <v>31</v>
      </c>
      <c r="E98" s="2" t="s">
        <v>200</v>
      </c>
      <c r="F98" s="2" t="s">
        <v>201</v>
      </c>
      <c r="G98" s="2" t="s">
        <v>34</v>
      </c>
      <c r="H98" s="2" t="s">
        <v>23</v>
      </c>
      <c r="I98" s="2">
        <v>17.3</v>
      </c>
      <c r="J98" s="2">
        <v>16.3</v>
      </c>
      <c r="K98" s="2" t="s">
        <v>24</v>
      </c>
      <c r="L98" s="2" t="s">
        <v>24</v>
      </c>
      <c r="M98" s="2" t="s">
        <v>24</v>
      </c>
      <c r="N98" s="2"/>
      <c r="O98" s="2"/>
      <c r="P98" s="2" t="s">
        <v>25</v>
      </c>
      <c r="Q98" s="3"/>
      <c r="R98" s="3"/>
    </row>
    <row r="99" spans="1:18" ht="28" x14ac:dyDescent="0.2">
      <c r="A99" s="2" t="s">
        <v>180</v>
      </c>
      <c r="B99" s="2" t="s">
        <v>39</v>
      </c>
      <c r="C99" s="2">
        <v>3</v>
      </c>
      <c r="D99" s="2" t="s">
        <v>20</v>
      </c>
      <c r="E99" s="2" t="s">
        <v>184</v>
      </c>
      <c r="F99" s="2" t="s">
        <v>202</v>
      </c>
      <c r="G99" s="2" t="s">
        <v>23</v>
      </c>
      <c r="H99" s="2" t="s">
        <v>23</v>
      </c>
      <c r="I99" s="2">
        <v>4.8</v>
      </c>
      <c r="J99" s="2">
        <v>4.3</v>
      </c>
      <c r="K99" s="2" t="s">
        <v>24</v>
      </c>
      <c r="L99" s="2" t="s">
        <v>24</v>
      </c>
      <c r="M99" s="2" t="s">
        <v>24</v>
      </c>
      <c r="N99" s="2"/>
      <c r="O99" s="2"/>
      <c r="P99" s="2" t="s">
        <v>25</v>
      </c>
      <c r="Q99" s="3"/>
      <c r="R99" s="3"/>
    </row>
    <row r="100" spans="1:18" ht="42" x14ac:dyDescent="0.2">
      <c r="A100" s="2" t="s">
        <v>180</v>
      </c>
      <c r="B100" s="2" t="s">
        <v>39</v>
      </c>
      <c r="C100" s="2">
        <v>4</v>
      </c>
      <c r="D100" s="2" t="s">
        <v>20</v>
      </c>
      <c r="E100" s="2" t="s">
        <v>186</v>
      </c>
      <c r="F100" s="2" t="s">
        <v>203</v>
      </c>
      <c r="G100" s="2" t="s">
        <v>23</v>
      </c>
      <c r="H100" s="2" t="s">
        <v>23</v>
      </c>
      <c r="I100" s="2">
        <v>10.3</v>
      </c>
      <c r="J100" s="2">
        <v>13.9</v>
      </c>
      <c r="K100" s="2" t="s">
        <v>24</v>
      </c>
      <c r="L100" s="2" t="s">
        <v>24</v>
      </c>
      <c r="M100" s="2" t="s">
        <v>24</v>
      </c>
      <c r="N100" s="2"/>
      <c r="O100" s="2"/>
      <c r="P100" s="2" t="s">
        <v>25</v>
      </c>
      <c r="Q100" s="3"/>
      <c r="R100" s="3"/>
    </row>
    <row r="101" spans="1:18" ht="28" x14ac:dyDescent="0.2">
      <c r="A101" s="2" t="s">
        <v>180</v>
      </c>
      <c r="B101" s="2" t="s">
        <v>39</v>
      </c>
      <c r="C101" s="2">
        <v>5</v>
      </c>
      <c r="D101" s="2" t="s">
        <v>20</v>
      </c>
      <c r="E101" s="2" t="s">
        <v>188</v>
      </c>
      <c r="F101" s="2" t="s">
        <v>204</v>
      </c>
      <c r="G101" s="2" t="s">
        <v>23</v>
      </c>
      <c r="H101" s="2" t="s">
        <v>23</v>
      </c>
      <c r="I101" s="2">
        <v>2.5</v>
      </c>
      <c r="J101" s="2">
        <v>8.6</v>
      </c>
      <c r="K101" s="2" t="s">
        <v>24</v>
      </c>
      <c r="L101" s="2" t="s">
        <v>24</v>
      </c>
      <c r="M101" s="2" t="s">
        <v>24</v>
      </c>
      <c r="N101" s="2"/>
      <c r="O101" s="2"/>
      <c r="P101" s="2" t="s">
        <v>25</v>
      </c>
      <c r="Q101" s="3"/>
      <c r="R101" s="3"/>
    </row>
    <row r="102" spans="1:18" ht="28" x14ac:dyDescent="0.2">
      <c r="A102" s="2" t="s">
        <v>180</v>
      </c>
      <c r="B102" s="2" t="s">
        <v>39</v>
      </c>
      <c r="C102" s="2">
        <v>6</v>
      </c>
      <c r="D102" s="2" t="s">
        <v>20</v>
      </c>
      <c r="E102" s="2" t="s">
        <v>190</v>
      </c>
      <c r="F102" s="2" t="s">
        <v>205</v>
      </c>
      <c r="G102" s="2" t="s">
        <v>23</v>
      </c>
      <c r="H102" s="2" t="s">
        <v>23</v>
      </c>
      <c r="I102" s="2">
        <v>4.8</v>
      </c>
      <c r="J102" s="2">
        <v>3.4</v>
      </c>
      <c r="K102" s="2" t="s">
        <v>24</v>
      </c>
      <c r="L102" s="2" t="s">
        <v>24</v>
      </c>
      <c r="M102" s="2" t="s">
        <v>24</v>
      </c>
      <c r="N102" s="2"/>
      <c r="O102" s="2"/>
      <c r="P102" s="2" t="s">
        <v>25</v>
      </c>
      <c r="Q102" s="3"/>
      <c r="R102" s="3"/>
    </row>
    <row r="103" spans="1:18" ht="42" x14ac:dyDescent="0.2">
      <c r="A103" s="2" t="s">
        <v>180</v>
      </c>
      <c r="B103" s="2" t="s">
        <v>39</v>
      </c>
      <c r="C103" s="2">
        <v>7</v>
      </c>
      <c r="D103" s="2" t="s">
        <v>31</v>
      </c>
      <c r="E103" s="2" t="s">
        <v>192</v>
      </c>
      <c r="F103" s="2" t="s">
        <v>206</v>
      </c>
      <c r="G103" s="2" t="s">
        <v>34</v>
      </c>
      <c r="H103" s="2" t="s">
        <v>23</v>
      </c>
      <c r="I103" s="2">
        <v>13.7</v>
      </c>
      <c r="J103" s="2">
        <v>13.5</v>
      </c>
      <c r="K103" s="2" t="s">
        <v>24</v>
      </c>
      <c r="L103" s="2" t="s">
        <v>24</v>
      </c>
      <c r="M103" s="2" t="s">
        <v>24</v>
      </c>
      <c r="N103" s="2"/>
      <c r="O103" s="2"/>
      <c r="P103" s="2" t="s">
        <v>25</v>
      </c>
      <c r="Q103" s="3"/>
      <c r="R103" s="3"/>
    </row>
    <row r="104" spans="1:18" ht="42" x14ac:dyDescent="0.2">
      <c r="A104" s="2" t="s">
        <v>180</v>
      </c>
      <c r="B104" s="2" t="s">
        <v>39</v>
      </c>
      <c r="C104" s="2">
        <v>8</v>
      </c>
      <c r="D104" s="2" t="s">
        <v>31</v>
      </c>
      <c r="E104" s="2" t="s">
        <v>195</v>
      </c>
      <c r="F104" s="2" t="s">
        <v>207</v>
      </c>
      <c r="G104" s="2" t="s">
        <v>34</v>
      </c>
      <c r="H104" s="2" t="s">
        <v>23</v>
      </c>
      <c r="I104" s="2">
        <v>17.8</v>
      </c>
      <c r="J104" s="2">
        <v>14.4</v>
      </c>
      <c r="K104" s="2" t="s">
        <v>24</v>
      </c>
      <c r="L104" s="2" t="s">
        <v>24</v>
      </c>
      <c r="M104" s="2" t="s">
        <v>24</v>
      </c>
      <c r="N104" s="2"/>
      <c r="O104" s="2"/>
      <c r="P104" s="2" t="s">
        <v>25</v>
      </c>
      <c r="Q104" s="3"/>
      <c r="R104" s="3"/>
    </row>
    <row r="105" spans="1:18" ht="56" x14ac:dyDescent="0.2">
      <c r="A105" s="2" t="s">
        <v>180</v>
      </c>
      <c r="B105" s="2" t="s">
        <v>39</v>
      </c>
      <c r="C105" s="2">
        <v>9</v>
      </c>
      <c r="D105" s="2" t="s">
        <v>31</v>
      </c>
      <c r="E105" s="2" t="s">
        <v>200</v>
      </c>
      <c r="F105" s="2" t="s">
        <v>208</v>
      </c>
      <c r="G105" s="2" t="s">
        <v>34</v>
      </c>
      <c r="H105" s="2" t="s">
        <v>23</v>
      </c>
      <c r="I105" s="2">
        <v>17.3</v>
      </c>
      <c r="J105" s="2">
        <v>14.2</v>
      </c>
      <c r="K105" s="2" t="s">
        <v>24</v>
      </c>
      <c r="L105" s="2" t="s">
        <v>24</v>
      </c>
      <c r="M105" s="2" t="s">
        <v>24</v>
      </c>
      <c r="N105" s="2"/>
      <c r="O105" s="2"/>
      <c r="P105" s="2" t="s">
        <v>25</v>
      </c>
      <c r="Q105" s="3"/>
      <c r="R105" s="3"/>
    </row>
    <row r="106" spans="1:18" ht="28" x14ac:dyDescent="0.2">
      <c r="A106" s="2" t="s">
        <v>180</v>
      </c>
      <c r="B106" s="2" t="s">
        <v>39</v>
      </c>
      <c r="C106" s="2">
        <v>10</v>
      </c>
      <c r="D106" s="2" t="s">
        <v>31</v>
      </c>
      <c r="E106" s="2" t="s">
        <v>209</v>
      </c>
      <c r="F106" s="2" t="s">
        <v>210</v>
      </c>
      <c r="G106" s="2" t="s">
        <v>34</v>
      </c>
      <c r="H106" s="2" t="s">
        <v>23</v>
      </c>
      <c r="I106" s="2">
        <v>12.6</v>
      </c>
      <c r="J106" s="2">
        <v>10.5</v>
      </c>
      <c r="K106" s="2" t="s">
        <v>24</v>
      </c>
      <c r="L106" s="2" t="s">
        <v>24</v>
      </c>
      <c r="M106" s="2" t="s">
        <v>24</v>
      </c>
      <c r="N106" s="2"/>
      <c r="O106" s="2"/>
      <c r="P106" s="2" t="s">
        <v>25</v>
      </c>
      <c r="Q106" s="3"/>
      <c r="R106" s="3"/>
    </row>
    <row r="107" spans="1:18" ht="28" x14ac:dyDescent="0.2">
      <c r="A107" s="2" t="s">
        <v>211</v>
      </c>
      <c r="B107" s="2" t="s">
        <v>19</v>
      </c>
      <c r="C107" s="2">
        <v>1</v>
      </c>
      <c r="D107" s="2" t="s">
        <v>20</v>
      </c>
      <c r="E107" s="2" t="s">
        <v>212</v>
      </c>
      <c r="F107" s="2" t="s">
        <v>213</v>
      </c>
      <c r="G107" s="2" t="s">
        <v>23</v>
      </c>
      <c r="H107" s="2" t="s">
        <v>23</v>
      </c>
      <c r="I107" s="2">
        <v>5.2</v>
      </c>
      <c r="J107" s="2">
        <v>0.8</v>
      </c>
      <c r="K107" s="2" t="s">
        <v>24</v>
      </c>
      <c r="L107" s="2" t="s">
        <v>24</v>
      </c>
      <c r="M107" s="2" t="s">
        <v>24</v>
      </c>
      <c r="N107" s="2"/>
      <c r="O107" s="2"/>
      <c r="P107" s="2" t="s">
        <v>25</v>
      </c>
      <c r="Q107" s="3"/>
      <c r="R107" s="3"/>
    </row>
    <row r="108" spans="1:18" ht="42" x14ac:dyDescent="0.2">
      <c r="A108" s="2" t="s">
        <v>211</v>
      </c>
      <c r="B108" s="2" t="s">
        <v>19</v>
      </c>
      <c r="C108" s="2">
        <v>2</v>
      </c>
      <c r="D108" s="2" t="s">
        <v>20</v>
      </c>
      <c r="E108" s="2" t="s">
        <v>118</v>
      </c>
      <c r="F108" s="2" t="s">
        <v>48</v>
      </c>
      <c r="G108" s="2" t="s">
        <v>23</v>
      </c>
      <c r="H108" s="2" t="s">
        <v>23</v>
      </c>
      <c r="I108" s="2">
        <v>12.6</v>
      </c>
      <c r="J108" s="2">
        <v>11.2</v>
      </c>
      <c r="K108" s="2" t="s">
        <v>24</v>
      </c>
      <c r="L108" s="2" t="s">
        <v>24</v>
      </c>
      <c r="M108" s="2" t="s">
        <v>24</v>
      </c>
      <c r="N108" s="2"/>
      <c r="O108" s="2"/>
      <c r="P108" s="2" t="s">
        <v>25</v>
      </c>
      <c r="Q108" s="3"/>
      <c r="R108" s="3"/>
    </row>
    <row r="109" spans="1:18" ht="28" x14ac:dyDescent="0.2">
      <c r="A109" s="2" t="s">
        <v>211</v>
      </c>
      <c r="B109" s="2" t="s">
        <v>26</v>
      </c>
      <c r="C109" s="2">
        <v>3</v>
      </c>
      <c r="D109" s="2" t="s">
        <v>20</v>
      </c>
      <c r="E109" s="2" t="s">
        <v>214</v>
      </c>
      <c r="F109" s="2" t="s">
        <v>215</v>
      </c>
      <c r="G109" s="2" t="s">
        <v>23</v>
      </c>
      <c r="H109" s="2" t="s">
        <v>23</v>
      </c>
      <c r="I109" s="2">
        <v>12.4</v>
      </c>
      <c r="J109" s="2">
        <v>7.6</v>
      </c>
      <c r="K109" s="2" t="s">
        <v>24</v>
      </c>
      <c r="L109" s="2" t="s">
        <v>24</v>
      </c>
      <c r="M109" s="2" t="s">
        <v>24</v>
      </c>
      <c r="N109" s="2"/>
      <c r="O109" s="2"/>
      <c r="P109" s="2" t="s">
        <v>25</v>
      </c>
      <c r="Q109" s="3"/>
      <c r="R109" s="3"/>
    </row>
    <row r="110" spans="1:18" ht="28" x14ac:dyDescent="0.2">
      <c r="A110" s="2" t="s">
        <v>211</v>
      </c>
      <c r="B110" s="2" t="s">
        <v>26</v>
      </c>
      <c r="C110" s="2">
        <v>4</v>
      </c>
      <c r="D110" s="2" t="s">
        <v>20</v>
      </c>
      <c r="E110" s="2" t="s">
        <v>216</v>
      </c>
      <c r="F110" s="2" t="s">
        <v>217</v>
      </c>
      <c r="G110" s="2" t="s">
        <v>23</v>
      </c>
      <c r="H110" s="2" t="s">
        <v>23</v>
      </c>
      <c r="I110" s="2">
        <v>1.3</v>
      </c>
      <c r="J110" s="2">
        <v>4.9000000000000004</v>
      </c>
      <c r="K110" s="2" t="s">
        <v>24</v>
      </c>
      <c r="L110" s="2" t="s">
        <v>24</v>
      </c>
      <c r="M110" s="2" t="s">
        <v>24</v>
      </c>
      <c r="N110" s="2"/>
      <c r="O110" s="2"/>
      <c r="P110" s="2" t="s">
        <v>25</v>
      </c>
      <c r="Q110" s="3"/>
      <c r="R110" s="3"/>
    </row>
    <row r="111" spans="1:18" ht="28" x14ac:dyDescent="0.2">
      <c r="A111" s="2" t="s">
        <v>211</v>
      </c>
      <c r="B111" s="2" t="s">
        <v>26</v>
      </c>
      <c r="C111" s="2">
        <v>5</v>
      </c>
      <c r="D111" s="2" t="s">
        <v>20</v>
      </c>
      <c r="E111" s="2" t="s">
        <v>218</v>
      </c>
      <c r="F111" s="2" t="s">
        <v>219</v>
      </c>
      <c r="G111" s="2" t="s">
        <v>23</v>
      </c>
      <c r="H111" s="2" t="s">
        <v>23</v>
      </c>
      <c r="I111" s="2">
        <v>-3</v>
      </c>
      <c r="J111" s="2">
        <v>7</v>
      </c>
      <c r="K111" s="2" t="s">
        <v>24</v>
      </c>
      <c r="L111" s="2" t="s">
        <v>24</v>
      </c>
      <c r="M111" s="2" t="s">
        <v>24</v>
      </c>
      <c r="N111" s="2"/>
      <c r="O111" s="2"/>
      <c r="P111" s="2" t="s">
        <v>25</v>
      </c>
      <c r="Q111" s="3"/>
      <c r="R111" s="3"/>
    </row>
    <row r="112" spans="1:18" ht="28" x14ac:dyDescent="0.2">
      <c r="A112" s="2" t="s">
        <v>211</v>
      </c>
      <c r="B112" s="2" t="s">
        <v>26</v>
      </c>
      <c r="C112" s="2">
        <v>6</v>
      </c>
      <c r="D112" s="2" t="s">
        <v>31</v>
      </c>
      <c r="E112" s="2" t="s">
        <v>220</v>
      </c>
      <c r="F112" s="2" t="s">
        <v>221</v>
      </c>
      <c r="G112" s="2" t="s">
        <v>34</v>
      </c>
      <c r="H112" s="2" t="s">
        <v>23</v>
      </c>
      <c r="I112" s="2">
        <v>7.6</v>
      </c>
      <c r="J112" s="2">
        <v>10</v>
      </c>
      <c r="K112" s="2" t="s">
        <v>24</v>
      </c>
      <c r="L112" s="2" t="s">
        <v>24</v>
      </c>
      <c r="M112" s="2" t="s">
        <v>24</v>
      </c>
      <c r="N112" s="2"/>
      <c r="O112" s="2"/>
      <c r="P112" s="2" t="s">
        <v>25</v>
      </c>
      <c r="Q112" s="3"/>
      <c r="R112" s="3"/>
    </row>
    <row r="113" spans="1:18" ht="42" x14ac:dyDescent="0.2">
      <c r="A113" s="2" t="s">
        <v>211</v>
      </c>
      <c r="B113" s="2" t="s">
        <v>26</v>
      </c>
      <c r="C113" s="2">
        <v>7</v>
      </c>
      <c r="D113" s="2" t="s">
        <v>31</v>
      </c>
      <c r="E113" s="2" t="s">
        <v>222</v>
      </c>
      <c r="F113" s="2" t="s">
        <v>223</v>
      </c>
      <c r="G113" s="2" t="s">
        <v>34</v>
      </c>
      <c r="H113" s="2" t="s">
        <v>34</v>
      </c>
      <c r="I113" s="2">
        <v>8.4</v>
      </c>
      <c r="J113" s="2">
        <v>13.4</v>
      </c>
      <c r="K113" s="2" t="s">
        <v>24</v>
      </c>
      <c r="L113" s="2" t="s">
        <v>24</v>
      </c>
      <c r="M113" s="2" t="s">
        <v>24</v>
      </c>
      <c r="N113" s="2"/>
      <c r="O113" s="2"/>
      <c r="P113" s="2" t="s">
        <v>25</v>
      </c>
      <c r="Q113" s="3"/>
      <c r="R113" s="3"/>
    </row>
    <row r="114" spans="1:18" ht="28" x14ac:dyDescent="0.2">
      <c r="A114" s="2" t="s">
        <v>211</v>
      </c>
      <c r="B114" s="2" t="s">
        <v>26</v>
      </c>
      <c r="C114" s="2">
        <v>8</v>
      </c>
      <c r="D114" s="2" t="s">
        <v>31</v>
      </c>
      <c r="E114" s="2" t="s">
        <v>224</v>
      </c>
      <c r="F114" s="2" t="s">
        <v>225</v>
      </c>
      <c r="G114" s="2" t="s">
        <v>34</v>
      </c>
      <c r="H114" s="2" t="s">
        <v>34</v>
      </c>
      <c r="I114" s="2">
        <v>7.6</v>
      </c>
      <c r="J114" s="2">
        <v>11.3</v>
      </c>
      <c r="K114" s="2" t="s">
        <v>24</v>
      </c>
      <c r="L114" s="2" t="s">
        <v>24</v>
      </c>
      <c r="M114" s="2" t="s">
        <v>24</v>
      </c>
      <c r="N114" s="2"/>
      <c r="O114" s="2"/>
      <c r="P114" s="2" t="s">
        <v>25</v>
      </c>
      <c r="Q114" s="3"/>
      <c r="R114" s="3"/>
    </row>
    <row r="115" spans="1:18" x14ac:dyDescent="0.2">
      <c r="A115" s="2" t="s">
        <v>211</v>
      </c>
      <c r="B115" s="2" t="s">
        <v>26</v>
      </c>
      <c r="C115" s="2">
        <v>9</v>
      </c>
      <c r="D115" s="2" t="s">
        <v>31</v>
      </c>
      <c r="E115" s="2" t="s">
        <v>226</v>
      </c>
      <c r="F115" s="2" t="s">
        <v>227</v>
      </c>
      <c r="G115" s="2" t="s">
        <v>34</v>
      </c>
      <c r="H115" s="2" t="s">
        <v>34</v>
      </c>
      <c r="I115" s="2">
        <v>18.2</v>
      </c>
      <c r="J115" s="2">
        <v>5.2</v>
      </c>
      <c r="K115" s="2" t="s">
        <v>24</v>
      </c>
      <c r="L115" s="2" t="s">
        <v>24</v>
      </c>
      <c r="M115" s="2" t="s">
        <v>24</v>
      </c>
      <c r="N115" s="2"/>
      <c r="O115" s="2"/>
      <c r="P115" s="2" t="s">
        <v>25</v>
      </c>
      <c r="Q115" s="3"/>
      <c r="R115" s="3"/>
    </row>
    <row r="116" spans="1:18" ht="42" x14ac:dyDescent="0.2">
      <c r="A116" s="2" t="s">
        <v>211</v>
      </c>
      <c r="B116" s="2" t="s">
        <v>26</v>
      </c>
      <c r="C116" s="2">
        <v>10</v>
      </c>
      <c r="D116" s="2" t="s">
        <v>31</v>
      </c>
      <c r="E116" s="2" t="s">
        <v>228</v>
      </c>
      <c r="F116" s="2" t="s">
        <v>229</v>
      </c>
      <c r="G116" s="2" t="s">
        <v>34</v>
      </c>
      <c r="H116" s="2" t="s">
        <v>23</v>
      </c>
      <c r="I116" s="2">
        <v>12.4</v>
      </c>
      <c r="J116" s="2">
        <v>10.8</v>
      </c>
      <c r="K116" s="2" t="s">
        <v>24</v>
      </c>
      <c r="L116" s="2" t="s">
        <v>24</v>
      </c>
      <c r="M116" s="2" t="s">
        <v>24</v>
      </c>
      <c r="N116" s="2"/>
      <c r="O116" s="2"/>
      <c r="P116" s="2" t="s">
        <v>25</v>
      </c>
      <c r="Q116" s="3"/>
      <c r="R116" s="3"/>
    </row>
    <row r="117" spans="1:18" ht="28" x14ac:dyDescent="0.2">
      <c r="A117" s="2" t="s">
        <v>211</v>
      </c>
      <c r="B117" s="2" t="s">
        <v>39</v>
      </c>
      <c r="C117" s="2">
        <v>3</v>
      </c>
      <c r="D117" s="2" t="s">
        <v>20</v>
      </c>
      <c r="E117" s="2" t="s">
        <v>214</v>
      </c>
      <c r="F117" s="2" t="s">
        <v>230</v>
      </c>
      <c r="G117" s="2" t="s">
        <v>23</v>
      </c>
      <c r="H117" s="2" t="s">
        <v>23</v>
      </c>
      <c r="I117" s="2">
        <v>12.4</v>
      </c>
      <c r="J117" s="2">
        <v>7.2</v>
      </c>
      <c r="K117" s="2" t="s">
        <v>24</v>
      </c>
      <c r="L117" s="2" t="s">
        <v>24</v>
      </c>
      <c r="M117" s="2" t="s">
        <v>24</v>
      </c>
      <c r="N117" s="2"/>
      <c r="O117" s="2"/>
      <c r="P117" s="2" t="s">
        <v>25</v>
      </c>
      <c r="Q117" s="3"/>
      <c r="R117" s="3"/>
    </row>
    <row r="118" spans="1:18" ht="28" x14ac:dyDescent="0.2">
      <c r="A118" s="2" t="s">
        <v>211</v>
      </c>
      <c r="B118" s="2" t="s">
        <v>39</v>
      </c>
      <c r="C118" s="2">
        <v>4</v>
      </c>
      <c r="D118" s="2" t="s">
        <v>20</v>
      </c>
      <c r="E118" s="2" t="s">
        <v>216</v>
      </c>
      <c r="F118" s="2" t="s">
        <v>231</v>
      </c>
      <c r="G118" s="2" t="s">
        <v>23</v>
      </c>
      <c r="H118" s="2" t="s">
        <v>23</v>
      </c>
      <c r="I118" s="2">
        <v>1.3</v>
      </c>
      <c r="J118" s="2">
        <v>7</v>
      </c>
      <c r="K118" s="2" t="s">
        <v>24</v>
      </c>
      <c r="L118" s="2" t="s">
        <v>24</v>
      </c>
      <c r="M118" s="2" t="s">
        <v>24</v>
      </c>
      <c r="N118" s="2"/>
      <c r="O118" s="2"/>
      <c r="P118" s="2" t="s">
        <v>25</v>
      </c>
      <c r="Q118" s="3"/>
      <c r="R118" s="3"/>
    </row>
    <row r="119" spans="1:18" ht="28" x14ac:dyDescent="0.2">
      <c r="A119" s="2" t="s">
        <v>211</v>
      </c>
      <c r="B119" s="2" t="s">
        <v>39</v>
      </c>
      <c r="C119" s="2">
        <v>5</v>
      </c>
      <c r="D119" s="2" t="s">
        <v>20</v>
      </c>
      <c r="E119" s="2" t="s">
        <v>218</v>
      </c>
      <c r="F119" s="2" t="s">
        <v>232</v>
      </c>
      <c r="G119" s="2" t="s">
        <v>23</v>
      </c>
      <c r="H119" s="2" t="s">
        <v>23</v>
      </c>
      <c r="I119" s="2">
        <v>-3</v>
      </c>
      <c r="J119" s="2">
        <v>6.7</v>
      </c>
      <c r="K119" s="2" t="s">
        <v>24</v>
      </c>
      <c r="L119" s="2" t="s">
        <v>24</v>
      </c>
      <c r="M119" s="2" t="s">
        <v>24</v>
      </c>
      <c r="N119" s="2"/>
      <c r="O119" s="2"/>
      <c r="P119" s="2" t="s">
        <v>25</v>
      </c>
      <c r="Q119" s="3"/>
      <c r="R119" s="3"/>
    </row>
    <row r="120" spans="1:18" x14ac:dyDescent="0.2">
      <c r="A120" s="2" t="s">
        <v>211</v>
      </c>
      <c r="B120" s="2" t="s">
        <v>39</v>
      </c>
      <c r="C120" s="2">
        <v>6</v>
      </c>
      <c r="D120" s="2" t="s">
        <v>31</v>
      </c>
      <c r="E120" s="2" t="s">
        <v>220</v>
      </c>
      <c r="F120" s="2" t="s">
        <v>233</v>
      </c>
      <c r="G120" s="2" t="s">
        <v>34</v>
      </c>
      <c r="H120" s="2" t="s">
        <v>23</v>
      </c>
      <c r="I120" s="2">
        <v>7.6</v>
      </c>
      <c r="J120" s="2">
        <v>8</v>
      </c>
      <c r="K120" s="2" t="s">
        <v>24</v>
      </c>
      <c r="L120" s="2" t="s">
        <v>24</v>
      </c>
      <c r="M120" s="2" t="s">
        <v>24</v>
      </c>
      <c r="N120" s="2"/>
      <c r="O120" s="2"/>
      <c r="P120" s="2" t="s">
        <v>25</v>
      </c>
      <c r="Q120" s="3"/>
      <c r="R120" s="3"/>
    </row>
    <row r="121" spans="1:18" ht="28" x14ac:dyDescent="0.2">
      <c r="A121" s="2" t="s">
        <v>211</v>
      </c>
      <c r="B121" s="2" t="s">
        <v>39</v>
      </c>
      <c r="C121" s="2">
        <v>7</v>
      </c>
      <c r="D121" s="2" t="s">
        <v>31</v>
      </c>
      <c r="E121" s="2" t="s">
        <v>224</v>
      </c>
      <c r="F121" s="2" t="s">
        <v>225</v>
      </c>
      <c r="G121" s="2" t="s">
        <v>34</v>
      </c>
      <c r="H121" s="2" t="s">
        <v>23</v>
      </c>
      <c r="I121" s="2">
        <v>7.6</v>
      </c>
      <c r="J121" s="2">
        <v>11.3</v>
      </c>
      <c r="K121" s="2" t="s">
        <v>24</v>
      </c>
      <c r="L121" s="2" t="s">
        <v>24</v>
      </c>
      <c r="M121" s="2" t="s">
        <v>24</v>
      </c>
      <c r="N121" s="2"/>
      <c r="O121" s="2"/>
      <c r="P121" s="2" t="s">
        <v>25</v>
      </c>
      <c r="Q121" s="3"/>
      <c r="R121" s="3"/>
    </row>
    <row r="122" spans="1:18" ht="42" x14ac:dyDescent="0.2">
      <c r="A122" s="2" t="s">
        <v>211</v>
      </c>
      <c r="B122" s="2" t="s">
        <v>39</v>
      </c>
      <c r="C122" s="2">
        <v>8</v>
      </c>
      <c r="D122" s="2" t="s">
        <v>31</v>
      </c>
      <c r="E122" s="2" t="s">
        <v>222</v>
      </c>
      <c r="F122" s="2" t="s">
        <v>234</v>
      </c>
      <c r="G122" s="2" t="s">
        <v>34</v>
      </c>
      <c r="H122" s="2" t="s">
        <v>34</v>
      </c>
      <c r="I122" s="2">
        <v>8.4</v>
      </c>
      <c r="J122" s="2">
        <v>12.8</v>
      </c>
      <c r="K122" s="2" t="s">
        <v>24</v>
      </c>
      <c r="L122" s="2" t="s">
        <v>24</v>
      </c>
      <c r="M122" s="2" t="s">
        <v>24</v>
      </c>
      <c r="N122" s="2"/>
      <c r="O122" s="2"/>
      <c r="P122" s="2" t="s">
        <v>25</v>
      </c>
      <c r="Q122" s="3"/>
      <c r="R122" s="3"/>
    </row>
    <row r="123" spans="1:18" x14ac:dyDescent="0.2">
      <c r="A123" s="2" t="s">
        <v>211</v>
      </c>
      <c r="B123" s="2" t="s">
        <v>39</v>
      </c>
      <c r="C123" s="2">
        <v>9</v>
      </c>
      <c r="D123" s="2" t="s">
        <v>31</v>
      </c>
      <c r="E123" s="2" t="s">
        <v>226</v>
      </c>
      <c r="F123" s="2" t="s">
        <v>235</v>
      </c>
      <c r="G123" s="2" t="s">
        <v>34</v>
      </c>
      <c r="H123" s="2" t="s">
        <v>34</v>
      </c>
      <c r="I123" s="2">
        <v>18.2</v>
      </c>
      <c r="J123" s="2">
        <v>10.7</v>
      </c>
      <c r="K123" s="2" t="s">
        <v>24</v>
      </c>
      <c r="L123" s="2" t="s">
        <v>24</v>
      </c>
      <c r="M123" s="2" t="s">
        <v>24</v>
      </c>
      <c r="N123" s="2"/>
      <c r="O123" s="2"/>
      <c r="P123" s="2" t="s">
        <v>25</v>
      </c>
      <c r="Q123" s="3"/>
      <c r="R123" s="3"/>
    </row>
    <row r="124" spans="1:18" ht="42" x14ac:dyDescent="0.2">
      <c r="A124" s="2" t="s">
        <v>211</v>
      </c>
      <c r="B124" s="2" t="s">
        <v>39</v>
      </c>
      <c r="C124" s="2">
        <v>10</v>
      </c>
      <c r="D124" s="2" t="s">
        <v>31</v>
      </c>
      <c r="E124" s="2" t="s">
        <v>228</v>
      </c>
      <c r="F124" s="2" t="s">
        <v>236</v>
      </c>
      <c r="G124" s="2" t="s">
        <v>34</v>
      </c>
      <c r="H124" s="2" t="s">
        <v>23</v>
      </c>
      <c r="I124" s="2">
        <v>12.4</v>
      </c>
      <c r="J124" s="2">
        <v>11.8</v>
      </c>
      <c r="K124" s="2" t="s">
        <v>24</v>
      </c>
      <c r="L124" s="2" t="s">
        <v>24</v>
      </c>
      <c r="M124" s="2" t="s">
        <v>24</v>
      </c>
      <c r="N124" s="2"/>
      <c r="O124" s="2"/>
      <c r="P124" s="2" t="s">
        <v>25</v>
      </c>
      <c r="Q124" s="3"/>
      <c r="R124" s="3"/>
    </row>
    <row r="125" spans="1:18" ht="28" x14ac:dyDescent="0.2">
      <c r="A125" s="2" t="s">
        <v>237</v>
      </c>
      <c r="B125" s="2" t="s">
        <v>19</v>
      </c>
      <c r="C125" s="2">
        <v>1</v>
      </c>
      <c r="D125" s="2" t="s">
        <v>20</v>
      </c>
      <c r="E125" s="2" t="s">
        <v>181</v>
      </c>
      <c r="F125" s="2" t="s">
        <v>182</v>
      </c>
      <c r="G125" s="2" t="s">
        <v>23</v>
      </c>
      <c r="H125" s="2" t="s">
        <v>23</v>
      </c>
      <c r="I125" s="2">
        <v>5.2</v>
      </c>
      <c r="J125" s="2">
        <v>0.8</v>
      </c>
      <c r="K125" s="2" t="s">
        <v>24</v>
      </c>
      <c r="L125" s="2" t="s">
        <v>24</v>
      </c>
      <c r="M125" s="2" t="s">
        <v>24</v>
      </c>
      <c r="N125" s="2"/>
      <c r="O125" s="2"/>
      <c r="P125" s="2" t="s">
        <v>25</v>
      </c>
      <c r="Q125" s="3"/>
      <c r="R125" s="3"/>
    </row>
    <row r="126" spans="1:18" ht="42" x14ac:dyDescent="0.2">
      <c r="A126" s="2" t="s">
        <v>237</v>
      </c>
      <c r="B126" s="2" t="s">
        <v>19</v>
      </c>
      <c r="C126" s="2">
        <v>2</v>
      </c>
      <c r="D126" s="2" t="s">
        <v>20</v>
      </c>
      <c r="E126" s="2" t="s">
        <v>238</v>
      </c>
      <c r="F126" s="2" t="s">
        <v>48</v>
      </c>
      <c r="G126" s="2" t="s">
        <v>23</v>
      </c>
      <c r="H126" s="2" t="s">
        <v>23</v>
      </c>
      <c r="I126" s="2">
        <v>16.8</v>
      </c>
      <c r="J126" s="2">
        <v>11.2</v>
      </c>
      <c r="K126" s="2" t="s">
        <v>24</v>
      </c>
      <c r="L126" s="2" t="s">
        <v>24</v>
      </c>
      <c r="M126" s="2" t="s">
        <v>24</v>
      </c>
      <c r="N126" s="2"/>
      <c r="O126" s="2"/>
      <c r="P126" s="2" t="s">
        <v>25</v>
      </c>
      <c r="Q126" s="3"/>
      <c r="R126" s="3"/>
    </row>
    <row r="127" spans="1:18" ht="42" x14ac:dyDescent="0.2">
      <c r="A127" s="5" t="s">
        <v>237</v>
      </c>
      <c r="B127" s="5" t="s">
        <v>26</v>
      </c>
      <c r="C127" s="5">
        <v>3</v>
      </c>
      <c r="D127" s="5" t="s">
        <v>20</v>
      </c>
      <c r="E127" s="5" t="s">
        <v>239</v>
      </c>
      <c r="F127" s="5" t="s">
        <v>240</v>
      </c>
      <c r="G127" s="5" t="s">
        <v>23</v>
      </c>
      <c r="H127" s="5" t="s">
        <v>23</v>
      </c>
      <c r="I127" s="5">
        <v>8.3000000000000007</v>
      </c>
      <c r="J127" s="5">
        <v>3.7</v>
      </c>
      <c r="K127" s="5" t="s">
        <v>125</v>
      </c>
      <c r="L127" s="5" t="s">
        <v>24</v>
      </c>
      <c r="M127" s="5" t="s">
        <v>24</v>
      </c>
      <c r="N127" s="5" t="s">
        <v>241</v>
      </c>
      <c r="O127" s="5" t="s">
        <v>127</v>
      </c>
      <c r="P127" s="5" t="s">
        <v>25</v>
      </c>
      <c r="Q127" s="18" t="s">
        <v>24</v>
      </c>
      <c r="R127" s="3"/>
    </row>
    <row r="128" spans="1:18" ht="42" x14ac:dyDescent="0.2">
      <c r="A128" s="2" t="s">
        <v>237</v>
      </c>
      <c r="B128" s="2" t="s">
        <v>26</v>
      </c>
      <c r="C128" s="2">
        <v>4</v>
      </c>
      <c r="D128" s="2" t="s">
        <v>31</v>
      </c>
      <c r="E128" s="2" t="s">
        <v>242</v>
      </c>
      <c r="F128" s="2" t="s">
        <v>243</v>
      </c>
      <c r="G128" s="2" t="s">
        <v>34</v>
      </c>
      <c r="H128" s="2" t="s">
        <v>23</v>
      </c>
      <c r="I128" s="2">
        <v>9.1</v>
      </c>
      <c r="J128" s="2">
        <v>12.4</v>
      </c>
      <c r="K128" s="2" t="s">
        <v>24</v>
      </c>
      <c r="L128" s="2" t="s">
        <v>24</v>
      </c>
      <c r="M128" s="2" t="s">
        <v>24</v>
      </c>
      <c r="N128" s="2"/>
      <c r="O128" s="2"/>
      <c r="P128" s="2" t="s">
        <v>25</v>
      </c>
      <c r="Q128" s="3"/>
      <c r="R128" s="3"/>
    </row>
    <row r="129" spans="1:18" ht="28" x14ac:dyDescent="0.2">
      <c r="A129" s="2" t="s">
        <v>237</v>
      </c>
      <c r="B129" s="2" t="s">
        <v>26</v>
      </c>
      <c r="C129" s="2">
        <v>5</v>
      </c>
      <c r="D129" s="2" t="s">
        <v>20</v>
      </c>
      <c r="E129" s="2" t="s">
        <v>244</v>
      </c>
      <c r="F129" s="2" t="s">
        <v>245</v>
      </c>
      <c r="G129" s="2" t="s">
        <v>23</v>
      </c>
      <c r="H129" s="2" t="s">
        <v>23</v>
      </c>
      <c r="I129" s="2">
        <v>11.5</v>
      </c>
      <c r="J129" s="2">
        <v>10.8</v>
      </c>
      <c r="K129" s="2" t="s">
        <v>24</v>
      </c>
      <c r="L129" s="2" t="s">
        <v>24</v>
      </c>
      <c r="M129" s="2" t="s">
        <v>24</v>
      </c>
      <c r="N129" s="2"/>
      <c r="O129" s="2"/>
      <c r="P129" s="2" t="s">
        <v>25</v>
      </c>
      <c r="Q129" s="3"/>
      <c r="R129" s="3"/>
    </row>
    <row r="130" spans="1:18" ht="28" x14ac:dyDescent="0.2">
      <c r="A130" s="2" t="s">
        <v>237</v>
      </c>
      <c r="B130" s="2" t="s">
        <v>26</v>
      </c>
      <c r="C130" s="2">
        <v>6</v>
      </c>
      <c r="D130" s="2" t="s">
        <v>20</v>
      </c>
      <c r="E130" s="2" t="s">
        <v>246</v>
      </c>
      <c r="F130" s="2" t="s">
        <v>247</v>
      </c>
      <c r="G130" s="2" t="s">
        <v>23</v>
      </c>
      <c r="H130" s="2" t="s">
        <v>23</v>
      </c>
      <c r="I130" s="2">
        <v>8.8000000000000007</v>
      </c>
      <c r="J130" s="2">
        <v>7.2</v>
      </c>
      <c r="K130" s="2" t="s">
        <v>24</v>
      </c>
      <c r="L130" s="2" t="s">
        <v>24</v>
      </c>
      <c r="M130" s="2" t="s">
        <v>24</v>
      </c>
      <c r="N130" s="2"/>
      <c r="O130" s="2"/>
      <c r="P130" s="2" t="s">
        <v>25</v>
      </c>
      <c r="Q130" s="3"/>
      <c r="R130" s="3"/>
    </row>
    <row r="131" spans="1:18" x14ac:dyDescent="0.2">
      <c r="A131" s="2" t="s">
        <v>237</v>
      </c>
      <c r="B131" s="2" t="s">
        <v>26</v>
      </c>
      <c r="C131" s="2">
        <v>7</v>
      </c>
      <c r="D131" s="2" t="s">
        <v>31</v>
      </c>
      <c r="E131" s="2" t="s">
        <v>248</v>
      </c>
      <c r="F131" s="2" t="s">
        <v>227</v>
      </c>
      <c r="G131" s="2" t="s">
        <v>34</v>
      </c>
      <c r="H131" s="2" t="s">
        <v>34</v>
      </c>
      <c r="I131" s="2">
        <v>18.399999999999999</v>
      </c>
      <c r="J131" s="2">
        <v>5.2</v>
      </c>
      <c r="K131" s="2" t="s">
        <v>24</v>
      </c>
      <c r="L131" s="2" t="s">
        <v>24</v>
      </c>
      <c r="M131" s="2" t="s">
        <v>24</v>
      </c>
      <c r="N131" s="2"/>
      <c r="O131" s="2"/>
      <c r="P131" s="2" t="s">
        <v>25</v>
      </c>
      <c r="Q131" s="3"/>
      <c r="R131" s="3"/>
    </row>
    <row r="132" spans="1:18" x14ac:dyDescent="0.2">
      <c r="A132" s="2" t="s">
        <v>237</v>
      </c>
      <c r="B132" s="2" t="s">
        <v>26</v>
      </c>
      <c r="C132" s="2">
        <v>8</v>
      </c>
      <c r="D132" s="2" t="s">
        <v>31</v>
      </c>
      <c r="E132" s="2" t="s">
        <v>249</v>
      </c>
      <c r="F132" s="2" t="s">
        <v>250</v>
      </c>
      <c r="G132" s="2" t="s">
        <v>34</v>
      </c>
      <c r="H132" s="2" t="s">
        <v>34</v>
      </c>
      <c r="I132" s="2">
        <v>8.4</v>
      </c>
      <c r="J132" s="2">
        <v>7.2</v>
      </c>
      <c r="K132" s="2" t="s">
        <v>24</v>
      </c>
      <c r="L132" s="2" t="s">
        <v>24</v>
      </c>
      <c r="M132" s="2" t="s">
        <v>24</v>
      </c>
      <c r="N132" s="2"/>
      <c r="O132" s="2"/>
      <c r="P132" s="2" t="s">
        <v>25</v>
      </c>
      <c r="Q132" s="3"/>
      <c r="R132" s="3"/>
    </row>
    <row r="133" spans="1:18" ht="28" x14ac:dyDescent="0.2">
      <c r="A133" s="2" t="s">
        <v>237</v>
      </c>
      <c r="B133" s="2" t="s">
        <v>26</v>
      </c>
      <c r="C133" s="2">
        <v>9</v>
      </c>
      <c r="D133" s="2" t="s">
        <v>31</v>
      </c>
      <c r="E133" s="2" t="s">
        <v>251</v>
      </c>
      <c r="F133" s="2" t="s">
        <v>252</v>
      </c>
      <c r="G133" s="2" t="s">
        <v>34</v>
      </c>
      <c r="H133" s="2" t="s">
        <v>23</v>
      </c>
      <c r="I133" s="2">
        <v>11.1</v>
      </c>
      <c r="J133" s="2">
        <v>9.1</v>
      </c>
      <c r="K133" s="2" t="s">
        <v>24</v>
      </c>
      <c r="L133" s="2" t="s">
        <v>24</v>
      </c>
      <c r="M133" s="2" t="s">
        <v>24</v>
      </c>
      <c r="N133" s="2"/>
      <c r="O133" s="2"/>
      <c r="P133" s="2" t="s">
        <v>25</v>
      </c>
      <c r="Q133" s="3"/>
      <c r="R133" s="3"/>
    </row>
    <row r="134" spans="1:18" ht="28" x14ac:dyDescent="0.2">
      <c r="A134" s="2" t="s">
        <v>237</v>
      </c>
      <c r="B134" s="2" t="s">
        <v>26</v>
      </c>
      <c r="C134" s="2">
        <v>10</v>
      </c>
      <c r="D134" s="2" t="s">
        <v>31</v>
      </c>
      <c r="E134" s="2" t="s">
        <v>253</v>
      </c>
      <c r="F134" s="2" t="s">
        <v>254</v>
      </c>
      <c r="G134" s="2" t="s">
        <v>34</v>
      </c>
      <c r="H134" s="2" t="s">
        <v>34</v>
      </c>
      <c r="I134" s="2">
        <v>12.5</v>
      </c>
      <c r="J134" s="2">
        <v>11.8</v>
      </c>
      <c r="K134" s="2" t="s">
        <v>24</v>
      </c>
      <c r="L134" s="2" t="s">
        <v>24</v>
      </c>
      <c r="M134" s="2" t="s">
        <v>24</v>
      </c>
      <c r="N134" s="2"/>
      <c r="O134" s="2"/>
      <c r="P134" s="2" t="s">
        <v>25</v>
      </c>
      <c r="Q134" s="3"/>
      <c r="R134" s="3"/>
    </row>
    <row r="135" spans="1:18" ht="42" x14ac:dyDescent="0.2">
      <c r="A135" s="5" t="s">
        <v>237</v>
      </c>
      <c r="B135" s="5" t="s">
        <v>39</v>
      </c>
      <c r="C135" s="5">
        <v>3</v>
      </c>
      <c r="D135" s="5" t="s">
        <v>20</v>
      </c>
      <c r="E135" s="5" t="s">
        <v>239</v>
      </c>
      <c r="F135" s="5" t="s">
        <v>255</v>
      </c>
      <c r="G135" s="5" t="s">
        <v>23</v>
      </c>
      <c r="H135" s="5" t="s">
        <v>23</v>
      </c>
      <c r="I135" s="5">
        <v>8.3000000000000007</v>
      </c>
      <c r="J135" s="5">
        <v>3.7</v>
      </c>
      <c r="K135" s="5" t="s">
        <v>125</v>
      </c>
      <c r="L135" s="5" t="s">
        <v>24</v>
      </c>
      <c r="M135" s="5" t="s">
        <v>24</v>
      </c>
      <c r="N135" s="5" t="s">
        <v>241</v>
      </c>
      <c r="O135" s="5" t="s">
        <v>127</v>
      </c>
      <c r="P135" s="5" t="s">
        <v>25</v>
      </c>
      <c r="Q135" s="18" t="s">
        <v>24</v>
      </c>
      <c r="R135" s="3"/>
    </row>
    <row r="136" spans="1:18" ht="42" x14ac:dyDescent="0.2">
      <c r="A136" s="2" t="s">
        <v>237</v>
      </c>
      <c r="B136" s="2" t="s">
        <v>39</v>
      </c>
      <c r="C136" s="2">
        <v>4</v>
      </c>
      <c r="D136" s="2" t="s">
        <v>20</v>
      </c>
      <c r="E136" s="2" t="s">
        <v>244</v>
      </c>
      <c r="F136" s="2" t="s">
        <v>256</v>
      </c>
      <c r="G136" s="2" t="s">
        <v>23</v>
      </c>
      <c r="H136" s="2" t="s">
        <v>23</v>
      </c>
      <c r="I136" s="2">
        <v>11.5</v>
      </c>
      <c r="J136" s="2">
        <v>12.7</v>
      </c>
      <c r="K136" s="2" t="s">
        <v>24</v>
      </c>
      <c r="L136" s="2" t="s">
        <v>24</v>
      </c>
      <c r="M136" s="2" t="s">
        <v>24</v>
      </c>
      <c r="N136" s="2"/>
      <c r="O136" s="2"/>
      <c r="P136" s="2" t="s">
        <v>25</v>
      </c>
      <c r="Q136" s="3"/>
      <c r="R136" s="3"/>
    </row>
    <row r="137" spans="1:18" ht="42" x14ac:dyDescent="0.2">
      <c r="A137" s="2" t="s">
        <v>237</v>
      </c>
      <c r="B137" s="2" t="s">
        <v>39</v>
      </c>
      <c r="C137" s="2">
        <v>5</v>
      </c>
      <c r="D137" s="2" t="s">
        <v>31</v>
      </c>
      <c r="E137" s="2" t="s">
        <v>242</v>
      </c>
      <c r="F137" s="2" t="s">
        <v>257</v>
      </c>
      <c r="G137" s="2" t="s">
        <v>34</v>
      </c>
      <c r="H137" s="2" t="s">
        <v>23</v>
      </c>
      <c r="I137" s="2">
        <v>9.1</v>
      </c>
      <c r="J137" s="2">
        <v>12.2</v>
      </c>
      <c r="K137" s="2" t="s">
        <v>24</v>
      </c>
      <c r="L137" s="2" t="s">
        <v>24</v>
      </c>
      <c r="M137" s="2" t="s">
        <v>24</v>
      </c>
      <c r="N137" s="2"/>
      <c r="O137" s="2"/>
      <c r="P137" s="2" t="s">
        <v>25</v>
      </c>
      <c r="Q137" s="3"/>
      <c r="R137" s="3"/>
    </row>
    <row r="138" spans="1:18" ht="28" x14ac:dyDescent="0.2">
      <c r="A138" s="5" t="s">
        <v>237</v>
      </c>
      <c r="B138" s="5" t="s">
        <v>39</v>
      </c>
      <c r="C138" s="5">
        <v>6</v>
      </c>
      <c r="D138" s="5" t="s">
        <v>31</v>
      </c>
      <c r="E138" s="5" t="s">
        <v>258</v>
      </c>
      <c r="F138" s="5" t="s">
        <v>259</v>
      </c>
      <c r="G138" s="5" t="s">
        <v>34</v>
      </c>
      <c r="H138" s="5" t="s">
        <v>23</v>
      </c>
      <c r="I138" s="5">
        <v>11.2</v>
      </c>
      <c r="J138" s="5">
        <v>9.8000000000000007</v>
      </c>
      <c r="K138" s="5" t="s">
        <v>125</v>
      </c>
      <c r="L138" s="5" t="s">
        <v>24</v>
      </c>
      <c r="M138" s="5" t="s">
        <v>24</v>
      </c>
      <c r="N138" s="5" t="s">
        <v>260</v>
      </c>
      <c r="O138" s="5" t="s">
        <v>127</v>
      </c>
      <c r="P138" s="5" t="s">
        <v>25</v>
      </c>
      <c r="Q138" s="18" t="s">
        <v>24</v>
      </c>
      <c r="R138" s="3"/>
    </row>
    <row r="139" spans="1:18" x14ac:dyDescent="0.2">
      <c r="A139" s="2" t="s">
        <v>237</v>
      </c>
      <c r="B139" s="2" t="s">
        <v>39</v>
      </c>
      <c r="C139" s="2">
        <v>7</v>
      </c>
      <c r="D139" s="2" t="s">
        <v>31</v>
      </c>
      <c r="E139" s="2" t="s">
        <v>248</v>
      </c>
      <c r="F139" s="2" t="s">
        <v>227</v>
      </c>
      <c r="G139" s="2" t="s">
        <v>34</v>
      </c>
      <c r="H139" s="2" t="s">
        <v>34</v>
      </c>
      <c r="I139" s="2">
        <v>18.399999999999999</v>
      </c>
      <c r="J139" s="2">
        <v>5.2</v>
      </c>
      <c r="K139" s="2" t="s">
        <v>24</v>
      </c>
      <c r="L139" s="2" t="s">
        <v>24</v>
      </c>
      <c r="M139" s="2" t="s">
        <v>24</v>
      </c>
      <c r="N139" s="2"/>
      <c r="O139" s="2"/>
      <c r="P139" s="2" t="s">
        <v>25</v>
      </c>
      <c r="Q139" s="3"/>
      <c r="R139" s="3"/>
    </row>
    <row r="140" spans="1:18" ht="56" x14ac:dyDescent="0.2">
      <c r="A140" s="5" t="s">
        <v>237</v>
      </c>
      <c r="B140" s="5" t="s">
        <v>39</v>
      </c>
      <c r="C140" s="5">
        <v>8</v>
      </c>
      <c r="D140" s="5" t="s">
        <v>31</v>
      </c>
      <c r="E140" s="5" t="s">
        <v>261</v>
      </c>
      <c r="F140" s="5" t="s">
        <v>262</v>
      </c>
      <c r="G140" s="5" t="s">
        <v>34</v>
      </c>
      <c r="H140" s="5" t="s">
        <v>23</v>
      </c>
      <c r="I140" s="5">
        <v>12.9</v>
      </c>
      <c r="J140" s="5">
        <v>17.2</v>
      </c>
      <c r="K140" s="5" t="s">
        <v>125</v>
      </c>
      <c r="L140" s="5" t="s">
        <v>125</v>
      </c>
      <c r="M140" s="5" t="s">
        <v>24</v>
      </c>
      <c r="N140" s="5" t="s">
        <v>263</v>
      </c>
      <c r="O140" s="5" t="s">
        <v>127</v>
      </c>
      <c r="P140" s="5" t="s">
        <v>25</v>
      </c>
      <c r="Q140" s="18" t="s">
        <v>24</v>
      </c>
      <c r="R140" s="3"/>
    </row>
    <row r="141" spans="1:18" ht="28" x14ac:dyDescent="0.2">
      <c r="A141" s="5" t="s">
        <v>237</v>
      </c>
      <c r="B141" s="5" t="s">
        <v>39</v>
      </c>
      <c r="C141" s="5">
        <v>9</v>
      </c>
      <c r="D141" s="5" t="s">
        <v>31</v>
      </c>
      <c r="E141" s="5" t="s">
        <v>253</v>
      </c>
      <c r="F141" s="5" t="s">
        <v>264</v>
      </c>
      <c r="G141" s="5" t="s">
        <v>34</v>
      </c>
      <c r="H141" s="5" t="s">
        <v>34</v>
      </c>
      <c r="I141" s="5">
        <v>12.5</v>
      </c>
      <c r="J141" s="5">
        <v>8.5</v>
      </c>
      <c r="K141" s="5" t="s">
        <v>125</v>
      </c>
      <c r="L141" s="5" t="s">
        <v>24</v>
      </c>
      <c r="M141" s="5" t="s">
        <v>24</v>
      </c>
      <c r="N141" s="5" t="s">
        <v>265</v>
      </c>
      <c r="O141" s="5" t="s">
        <v>127</v>
      </c>
      <c r="P141" s="5" t="s">
        <v>25</v>
      </c>
      <c r="Q141" s="18" t="s">
        <v>24</v>
      </c>
      <c r="R141" s="3"/>
    </row>
    <row r="142" spans="1:18" x14ac:dyDescent="0.2">
      <c r="A142" s="2" t="s">
        <v>237</v>
      </c>
      <c r="B142" s="2" t="s">
        <v>39</v>
      </c>
      <c r="C142" s="2">
        <v>10</v>
      </c>
      <c r="D142" s="2" t="s">
        <v>31</v>
      </c>
      <c r="E142" s="2" t="s">
        <v>249</v>
      </c>
      <c r="F142" s="2" t="s">
        <v>266</v>
      </c>
      <c r="G142" s="2" t="s">
        <v>34</v>
      </c>
      <c r="H142" s="2" t="s">
        <v>34</v>
      </c>
      <c r="I142" s="2">
        <v>8.4</v>
      </c>
      <c r="J142" s="2">
        <v>7.2</v>
      </c>
      <c r="K142" s="2" t="s">
        <v>24</v>
      </c>
      <c r="L142" s="2" t="s">
        <v>24</v>
      </c>
      <c r="M142" s="2" t="s">
        <v>24</v>
      </c>
      <c r="N142" s="2"/>
      <c r="O142" s="2"/>
      <c r="P142" s="2" t="s">
        <v>25</v>
      </c>
      <c r="Q142" s="3"/>
      <c r="R142" s="3"/>
    </row>
    <row r="143" spans="1:18" ht="28" x14ac:dyDescent="0.2">
      <c r="A143" s="2" t="s">
        <v>267</v>
      </c>
      <c r="B143" s="2" t="s">
        <v>19</v>
      </c>
      <c r="C143" s="2">
        <v>1</v>
      </c>
      <c r="D143" s="2" t="s">
        <v>20</v>
      </c>
      <c r="E143" s="2" t="s">
        <v>45</v>
      </c>
      <c r="F143" s="2" t="s">
        <v>46</v>
      </c>
      <c r="G143" s="2" t="s">
        <v>23</v>
      </c>
      <c r="H143" s="2" t="s">
        <v>23</v>
      </c>
      <c r="I143" s="2">
        <v>3.7</v>
      </c>
      <c r="J143" s="2">
        <v>0.6</v>
      </c>
      <c r="K143" s="2" t="s">
        <v>24</v>
      </c>
      <c r="L143" s="2" t="s">
        <v>24</v>
      </c>
      <c r="M143" s="2" t="s">
        <v>24</v>
      </c>
      <c r="N143" s="2"/>
      <c r="O143" s="2"/>
      <c r="P143" s="2" t="s">
        <v>25</v>
      </c>
      <c r="Q143" s="3"/>
      <c r="R143" s="3"/>
    </row>
    <row r="144" spans="1:18" ht="42" x14ac:dyDescent="0.2">
      <c r="A144" s="2" t="s">
        <v>267</v>
      </c>
      <c r="B144" s="2" t="s">
        <v>19</v>
      </c>
      <c r="C144" s="2">
        <v>2</v>
      </c>
      <c r="D144" s="2" t="s">
        <v>20</v>
      </c>
      <c r="E144" s="2" t="s">
        <v>268</v>
      </c>
      <c r="F144" s="2" t="s">
        <v>48</v>
      </c>
      <c r="G144" s="2" t="s">
        <v>23</v>
      </c>
      <c r="H144" s="2" t="s">
        <v>23</v>
      </c>
      <c r="I144" s="2">
        <v>13.7</v>
      </c>
      <c r="J144" s="2">
        <v>11.2</v>
      </c>
      <c r="K144" s="2" t="s">
        <v>24</v>
      </c>
      <c r="L144" s="2" t="s">
        <v>24</v>
      </c>
      <c r="M144" s="2" t="s">
        <v>24</v>
      </c>
      <c r="N144" s="2"/>
      <c r="O144" s="2"/>
      <c r="P144" s="2" t="s">
        <v>25</v>
      </c>
      <c r="Q144" s="3"/>
      <c r="R144" s="3"/>
    </row>
    <row r="145" spans="1:18" ht="28" x14ac:dyDescent="0.2">
      <c r="A145" s="2" t="s">
        <v>267</v>
      </c>
      <c r="B145" s="2" t="s">
        <v>26</v>
      </c>
      <c r="C145" s="2">
        <v>3</v>
      </c>
      <c r="D145" s="2" t="s">
        <v>20</v>
      </c>
      <c r="E145" s="2" t="s">
        <v>269</v>
      </c>
      <c r="F145" s="2" t="s">
        <v>270</v>
      </c>
      <c r="G145" s="2" t="s">
        <v>23</v>
      </c>
      <c r="H145" s="2" t="s">
        <v>23</v>
      </c>
      <c r="I145" s="2">
        <v>1.3</v>
      </c>
      <c r="J145" s="2">
        <v>3</v>
      </c>
      <c r="K145" s="2" t="s">
        <v>24</v>
      </c>
      <c r="L145" s="2" t="s">
        <v>24</v>
      </c>
      <c r="M145" s="2" t="s">
        <v>24</v>
      </c>
      <c r="N145" s="2"/>
      <c r="O145" s="2"/>
      <c r="P145" s="2" t="s">
        <v>25</v>
      </c>
      <c r="Q145" s="3"/>
      <c r="R145" s="3"/>
    </row>
    <row r="146" spans="1:18" ht="28" x14ac:dyDescent="0.2">
      <c r="A146" s="2" t="s">
        <v>267</v>
      </c>
      <c r="B146" s="2" t="s">
        <v>26</v>
      </c>
      <c r="C146" s="2">
        <v>4</v>
      </c>
      <c r="D146" s="2" t="s">
        <v>20</v>
      </c>
      <c r="E146" s="2" t="s">
        <v>271</v>
      </c>
      <c r="F146" s="2" t="s">
        <v>272</v>
      </c>
      <c r="G146" s="2" t="s">
        <v>23</v>
      </c>
      <c r="H146" s="2" t="s">
        <v>23</v>
      </c>
      <c r="I146" s="2">
        <v>2.2999999999999998</v>
      </c>
      <c r="J146" s="2">
        <v>8.1</v>
      </c>
      <c r="K146" s="2" t="s">
        <v>24</v>
      </c>
      <c r="L146" s="2" t="s">
        <v>24</v>
      </c>
      <c r="M146" s="2" t="s">
        <v>24</v>
      </c>
      <c r="N146" s="2"/>
      <c r="O146" s="2"/>
      <c r="P146" s="2" t="s">
        <v>25</v>
      </c>
      <c r="Q146" s="3"/>
      <c r="R146" s="3"/>
    </row>
    <row r="147" spans="1:18" ht="28" x14ac:dyDescent="0.2">
      <c r="A147" s="2" t="s">
        <v>267</v>
      </c>
      <c r="B147" s="2" t="s">
        <v>26</v>
      </c>
      <c r="C147" s="2">
        <v>5</v>
      </c>
      <c r="D147" s="2" t="s">
        <v>20</v>
      </c>
      <c r="E147" s="2" t="s">
        <v>273</v>
      </c>
      <c r="F147" s="2" t="s">
        <v>274</v>
      </c>
      <c r="G147" s="2" t="s">
        <v>23</v>
      </c>
      <c r="H147" s="2" t="s">
        <v>23</v>
      </c>
      <c r="I147" s="2">
        <v>10.7</v>
      </c>
      <c r="J147" s="2">
        <v>6.1</v>
      </c>
      <c r="K147" s="2" t="s">
        <v>24</v>
      </c>
      <c r="L147" s="2" t="s">
        <v>24</v>
      </c>
      <c r="M147" s="2" t="s">
        <v>24</v>
      </c>
      <c r="N147" s="2"/>
      <c r="O147" s="2"/>
      <c r="P147" s="2" t="s">
        <v>25</v>
      </c>
      <c r="Q147" s="3"/>
      <c r="R147" s="3"/>
    </row>
    <row r="148" spans="1:18" ht="98" x14ac:dyDescent="0.2">
      <c r="A148" s="5" t="s">
        <v>267</v>
      </c>
      <c r="B148" s="5" t="s">
        <v>26</v>
      </c>
      <c r="C148" s="5">
        <v>6</v>
      </c>
      <c r="D148" s="5" t="s">
        <v>20</v>
      </c>
      <c r="E148" s="5" t="s">
        <v>275</v>
      </c>
      <c r="F148" s="5" t="s">
        <v>276</v>
      </c>
      <c r="G148" s="5" t="s">
        <v>23</v>
      </c>
      <c r="H148" s="5" t="s">
        <v>23</v>
      </c>
      <c r="I148" s="5">
        <v>22</v>
      </c>
      <c r="J148" s="5">
        <v>30.4</v>
      </c>
      <c r="K148" s="5" t="s">
        <v>24</v>
      </c>
      <c r="L148" s="5" t="s">
        <v>125</v>
      </c>
      <c r="M148" s="5" t="s">
        <v>24</v>
      </c>
      <c r="N148" s="5" t="s">
        <v>277</v>
      </c>
      <c r="O148" s="5" t="s">
        <v>127</v>
      </c>
      <c r="P148" s="5" t="s">
        <v>25</v>
      </c>
      <c r="Q148" s="18" t="s">
        <v>24</v>
      </c>
      <c r="R148" s="3"/>
    </row>
    <row r="149" spans="1:18" ht="28" x14ac:dyDescent="0.2">
      <c r="A149" s="2" t="s">
        <v>267</v>
      </c>
      <c r="B149" s="2" t="s">
        <v>26</v>
      </c>
      <c r="C149" s="2">
        <v>7</v>
      </c>
      <c r="D149" s="2" t="s">
        <v>31</v>
      </c>
      <c r="E149" s="2" t="s">
        <v>278</v>
      </c>
      <c r="F149" s="2" t="s">
        <v>279</v>
      </c>
      <c r="G149" s="2" t="s">
        <v>34</v>
      </c>
      <c r="H149" s="2" t="s">
        <v>23</v>
      </c>
      <c r="I149" s="2">
        <v>13.1</v>
      </c>
      <c r="J149" s="2">
        <v>6</v>
      </c>
      <c r="K149" s="2" t="s">
        <v>24</v>
      </c>
      <c r="L149" s="2" t="s">
        <v>24</v>
      </c>
      <c r="M149" s="2" t="s">
        <v>24</v>
      </c>
      <c r="N149" s="2"/>
      <c r="O149" s="2"/>
      <c r="P149" s="2" t="s">
        <v>25</v>
      </c>
      <c r="Q149" s="3"/>
      <c r="R149" s="3"/>
    </row>
    <row r="150" spans="1:18" ht="56" x14ac:dyDescent="0.2">
      <c r="A150" s="2" t="s">
        <v>267</v>
      </c>
      <c r="B150" s="2" t="s">
        <v>26</v>
      </c>
      <c r="C150" s="2">
        <v>8</v>
      </c>
      <c r="D150" s="2" t="s">
        <v>31</v>
      </c>
      <c r="E150" s="2" t="s">
        <v>280</v>
      </c>
      <c r="F150" s="2" t="s">
        <v>281</v>
      </c>
      <c r="G150" s="2" t="s">
        <v>34</v>
      </c>
      <c r="H150" s="2" t="s">
        <v>23</v>
      </c>
      <c r="I150" s="2">
        <v>18.7</v>
      </c>
      <c r="J150" s="2">
        <v>14.3</v>
      </c>
      <c r="K150" s="2" t="s">
        <v>24</v>
      </c>
      <c r="L150" s="2" t="s">
        <v>24</v>
      </c>
      <c r="M150" s="2" t="s">
        <v>24</v>
      </c>
      <c r="N150" s="2"/>
      <c r="O150" s="2"/>
      <c r="P150" s="2" t="s">
        <v>25</v>
      </c>
      <c r="Q150" s="3"/>
      <c r="R150" s="3"/>
    </row>
    <row r="151" spans="1:18" ht="56" x14ac:dyDescent="0.2">
      <c r="A151" s="2" t="s">
        <v>267</v>
      </c>
      <c r="B151" s="2" t="s">
        <v>26</v>
      </c>
      <c r="C151" s="2">
        <v>9</v>
      </c>
      <c r="D151" s="2" t="s">
        <v>31</v>
      </c>
      <c r="E151" s="2" t="s">
        <v>282</v>
      </c>
      <c r="F151" s="2" t="s">
        <v>283</v>
      </c>
      <c r="G151" s="2" t="s">
        <v>34</v>
      </c>
      <c r="H151" s="2" t="s">
        <v>23</v>
      </c>
      <c r="I151" s="2">
        <v>21.3</v>
      </c>
      <c r="J151" s="2">
        <v>15.1</v>
      </c>
      <c r="K151" s="2" t="s">
        <v>24</v>
      </c>
      <c r="L151" s="2" t="s">
        <v>24</v>
      </c>
      <c r="M151" s="2" t="s">
        <v>24</v>
      </c>
      <c r="N151" s="2"/>
      <c r="O151" s="2"/>
      <c r="P151" s="2" t="s">
        <v>25</v>
      </c>
      <c r="Q151" s="3"/>
      <c r="R151" s="3"/>
    </row>
    <row r="152" spans="1:18" ht="56" x14ac:dyDescent="0.2">
      <c r="A152" s="2" t="s">
        <v>267</v>
      </c>
      <c r="B152" s="2" t="s">
        <v>26</v>
      </c>
      <c r="C152" s="2">
        <v>10</v>
      </c>
      <c r="D152" s="2" t="s">
        <v>31</v>
      </c>
      <c r="E152" s="2" t="s">
        <v>284</v>
      </c>
      <c r="F152" s="2" t="s">
        <v>285</v>
      </c>
      <c r="G152" s="2" t="s">
        <v>34</v>
      </c>
      <c r="H152" s="2" t="s">
        <v>23</v>
      </c>
      <c r="I152" s="2">
        <v>16.600000000000001</v>
      </c>
      <c r="J152" s="2">
        <v>2.5</v>
      </c>
      <c r="K152" s="2" t="s">
        <v>24</v>
      </c>
      <c r="L152" s="2" t="s">
        <v>24</v>
      </c>
      <c r="M152" s="2" t="s">
        <v>24</v>
      </c>
      <c r="N152" s="2"/>
      <c r="O152" s="2"/>
      <c r="P152" s="2" t="s">
        <v>25</v>
      </c>
      <c r="Q152" s="3"/>
      <c r="R152" s="3"/>
    </row>
    <row r="153" spans="1:18" ht="42" x14ac:dyDescent="0.2">
      <c r="A153" s="2" t="s">
        <v>267</v>
      </c>
      <c r="B153" s="2" t="s">
        <v>39</v>
      </c>
      <c r="C153" s="2">
        <v>3</v>
      </c>
      <c r="D153" s="2" t="s">
        <v>20</v>
      </c>
      <c r="E153" s="2" t="s">
        <v>271</v>
      </c>
      <c r="F153" s="2" t="s">
        <v>286</v>
      </c>
      <c r="G153" s="2" t="s">
        <v>23</v>
      </c>
      <c r="H153" s="2" t="s">
        <v>23</v>
      </c>
      <c r="I153" s="2">
        <v>2.2999999999999998</v>
      </c>
      <c r="J153" s="2">
        <v>8.5</v>
      </c>
      <c r="K153" s="2" t="s">
        <v>24</v>
      </c>
      <c r="L153" s="2" t="s">
        <v>24</v>
      </c>
      <c r="M153" s="2" t="s">
        <v>24</v>
      </c>
      <c r="N153" s="2"/>
      <c r="O153" s="2"/>
      <c r="P153" s="2" t="s">
        <v>25</v>
      </c>
      <c r="Q153" s="3"/>
      <c r="R153" s="3"/>
    </row>
    <row r="154" spans="1:18" ht="28" x14ac:dyDescent="0.2">
      <c r="A154" s="2" t="s">
        <v>267</v>
      </c>
      <c r="B154" s="2" t="s">
        <v>39</v>
      </c>
      <c r="C154" s="2">
        <v>4</v>
      </c>
      <c r="D154" s="2" t="s">
        <v>20</v>
      </c>
      <c r="E154" s="2" t="s">
        <v>269</v>
      </c>
      <c r="F154" s="2" t="s">
        <v>287</v>
      </c>
      <c r="G154" s="2" t="s">
        <v>23</v>
      </c>
      <c r="H154" s="2" t="s">
        <v>23</v>
      </c>
      <c r="I154" s="2">
        <v>1.3</v>
      </c>
      <c r="J154" s="2">
        <v>3.7</v>
      </c>
      <c r="K154" s="2" t="s">
        <v>24</v>
      </c>
      <c r="L154" s="2" t="s">
        <v>24</v>
      </c>
      <c r="M154" s="2" t="s">
        <v>24</v>
      </c>
      <c r="N154" s="2"/>
      <c r="O154" s="2"/>
      <c r="P154" s="2" t="s">
        <v>25</v>
      </c>
      <c r="Q154" s="3"/>
      <c r="R154" s="3"/>
    </row>
    <row r="155" spans="1:18" ht="28" x14ac:dyDescent="0.2">
      <c r="A155" s="2" t="s">
        <v>267</v>
      </c>
      <c r="B155" s="2" t="s">
        <v>39</v>
      </c>
      <c r="C155" s="2">
        <v>5</v>
      </c>
      <c r="D155" s="2" t="s">
        <v>20</v>
      </c>
      <c r="E155" s="2" t="s">
        <v>273</v>
      </c>
      <c r="F155" s="2" t="s">
        <v>288</v>
      </c>
      <c r="G155" s="2" t="s">
        <v>23</v>
      </c>
      <c r="H155" s="2" t="s">
        <v>23</v>
      </c>
      <c r="I155" s="2">
        <v>10.7</v>
      </c>
      <c r="J155" s="2">
        <v>5</v>
      </c>
      <c r="K155" s="2" t="s">
        <v>24</v>
      </c>
      <c r="L155" s="2" t="s">
        <v>24</v>
      </c>
      <c r="M155" s="2" t="s">
        <v>24</v>
      </c>
      <c r="N155" s="2"/>
      <c r="O155" s="2"/>
      <c r="P155" s="2" t="s">
        <v>25</v>
      </c>
      <c r="Q155" s="3"/>
      <c r="R155" s="3"/>
    </row>
    <row r="156" spans="1:18" ht="70" x14ac:dyDescent="0.2">
      <c r="A156" s="5" t="s">
        <v>267</v>
      </c>
      <c r="B156" s="5" t="s">
        <v>39</v>
      </c>
      <c r="C156" s="5">
        <v>6</v>
      </c>
      <c r="D156" s="5" t="s">
        <v>20</v>
      </c>
      <c r="E156" s="5" t="s">
        <v>275</v>
      </c>
      <c r="F156" s="5" t="s">
        <v>289</v>
      </c>
      <c r="G156" s="5" t="s">
        <v>23</v>
      </c>
      <c r="H156" s="5" t="s">
        <v>23</v>
      </c>
      <c r="I156" s="5">
        <v>22</v>
      </c>
      <c r="J156" s="5">
        <v>22.3</v>
      </c>
      <c r="K156" s="5" t="s">
        <v>24</v>
      </c>
      <c r="L156" s="5" t="s">
        <v>125</v>
      </c>
      <c r="M156" s="5" t="s">
        <v>24</v>
      </c>
      <c r="N156" s="5" t="s">
        <v>290</v>
      </c>
      <c r="O156" s="5" t="s">
        <v>127</v>
      </c>
      <c r="P156" s="5" t="s">
        <v>25</v>
      </c>
      <c r="Q156" s="18" t="s">
        <v>24</v>
      </c>
      <c r="R156" s="3"/>
    </row>
    <row r="157" spans="1:18" ht="28" x14ac:dyDescent="0.2">
      <c r="A157" s="2" t="s">
        <v>267</v>
      </c>
      <c r="B157" s="2" t="s">
        <v>39</v>
      </c>
      <c r="C157" s="2">
        <v>7</v>
      </c>
      <c r="D157" s="2" t="s">
        <v>31</v>
      </c>
      <c r="E157" s="2" t="s">
        <v>278</v>
      </c>
      <c r="F157" s="2" t="s">
        <v>291</v>
      </c>
      <c r="G157" s="2" t="s">
        <v>34</v>
      </c>
      <c r="H157" s="2" t="s">
        <v>23</v>
      </c>
      <c r="I157" s="2">
        <v>13.1</v>
      </c>
      <c r="J157" s="2">
        <v>8.4</v>
      </c>
      <c r="K157" s="2" t="s">
        <v>24</v>
      </c>
      <c r="L157" s="2" t="s">
        <v>24</v>
      </c>
      <c r="M157" s="2" t="s">
        <v>24</v>
      </c>
      <c r="N157" s="2"/>
      <c r="O157" s="2"/>
      <c r="P157" s="2" t="s">
        <v>25</v>
      </c>
      <c r="Q157" s="3"/>
      <c r="R157" s="3"/>
    </row>
    <row r="158" spans="1:18" ht="84" x14ac:dyDescent="0.2">
      <c r="A158" s="2" t="s">
        <v>267</v>
      </c>
      <c r="B158" s="2" t="s">
        <v>39</v>
      </c>
      <c r="C158" s="2">
        <v>8</v>
      </c>
      <c r="D158" s="2" t="s">
        <v>31</v>
      </c>
      <c r="E158" s="2" t="s">
        <v>280</v>
      </c>
      <c r="F158" s="2" t="s">
        <v>292</v>
      </c>
      <c r="G158" s="2" t="s">
        <v>34</v>
      </c>
      <c r="H158" s="2" t="s">
        <v>23</v>
      </c>
      <c r="I158" s="2">
        <v>18.7</v>
      </c>
      <c r="J158" s="2">
        <v>23.5</v>
      </c>
      <c r="K158" s="2" t="s">
        <v>24</v>
      </c>
      <c r="L158" s="2" t="s">
        <v>24</v>
      </c>
      <c r="M158" s="2" t="s">
        <v>24</v>
      </c>
      <c r="N158" s="2"/>
      <c r="O158" s="2"/>
      <c r="P158" s="2" t="s">
        <v>25</v>
      </c>
      <c r="Q158" s="3"/>
      <c r="R158" s="3"/>
    </row>
    <row r="159" spans="1:18" ht="56" x14ac:dyDescent="0.2">
      <c r="A159" s="5" t="s">
        <v>267</v>
      </c>
      <c r="B159" s="5" t="s">
        <v>39</v>
      </c>
      <c r="C159" s="5">
        <v>9</v>
      </c>
      <c r="D159" s="5" t="s">
        <v>31</v>
      </c>
      <c r="E159" s="5" t="s">
        <v>293</v>
      </c>
      <c r="F159" s="5" t="s">
        <v>294</v>
      </c>
      <c r="G159" s="5" t="s">
        <v>34</v>
      </c>
      <c r="H159" s="5" t="s">
        <v>23</v>
      </c>
      <c r="I159" s="5">
        <v>15.5</v>
      </c>
      <c r="J159" s="5">
        <v>19</v>
      </c>
      <c r="K159" s="5" t="s">
        <v>125</v>
      </c>
      <c r="L159" s="5" t="s">
        <v>24</v>
      </c>
      <c r="M159" s="5" t="s">
        <v>24</v>
      </c>
      <c r="N159" s="5" t="s">
        <v>295</v>
      </c>
      <c r="O159" s="5" t="s">
        <v>127</v>
      </c>
      <c r="P159" s="5" t="s">
        <v>25</v>
      </c>
      <c r="Q159" s="18" t="s">
        <v>24</v>
      </c>
      <c r="R159" s="3"/>
    </row>
    <row r="160" spans="1:18" ht="28" x14ac:dyDescent="0.2">
      <c r="A160" s="2" t="s">
        <v>267</v>
      </c>
      <c r="B160" s="2" t="s">
        <v>39</v>
      </c>
      <c r="C160" s="2">
        <v>10</v>
      </c>
      <c r="D160" s="2" t="s">
        <v>20</v>
      </c>
      <c r="E160" s="2" t="s">
        <v>296</v>
      </c>
      <c r="F160" s="2" t="s">
        <v>297</v>
      </c>
      <c r="G160" s="2" t="s">
        <v>34</v>
      </c>
      <c r="H160" s="2" t="s">
        <v>34</v>
      </c>
      <c r="I160" s="2">
        <v>10.199999999999999</v>
      </c>
      <c r="J160" s="2">
        <v>8.4</v>
      </c>
      <c r="K160" s="2" t="s">
        <v>24</v>
      </c>
      <c r="L160" s="2" t="s">
        <v>24</v>
      </c>
      <c r="M160" s="2" t="s">
        <v>24</v>
      </c>
      <c r="N160" s="2"/>
      <c r="O160" s="2"/>
      <c r="P160" s="2" t="s">
        <v>25</v>
      </c>
      <c r="Q160" s="3"/>
      <c r="R160" s="3"/>
    </row>
  </sheetData>
  <autoFilter ref="A1:R160"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
  <sheetViews>
    <sheetView zoomScaleNormal="100" workbookViewId="0"/>
  </sheetViews>
  <sheetFormatPr baseColWidth="10" defaultColWidth="8.6640625" defaultRowHeight="15" x14ac:dyDescent="0.2"/>
  <cols>
    <col min="1" max="1" width="120" customWidth="1"/>
  </cols>
  <sheetData>
    <row r="1" spans="1:1" ht="18" x14ac:dyDescent="0.2">
      <c r="A1" s="6" t="s">
        <v>298</v>
      </c>
    </row>
    <row r="2" spans="1:1" x14ac:dyDescent="0.2">
      <c r="A2" s="7"/>
    </row>
    <row r="3" spans="1:1" ht="16" x14ac:dyDescent="0.2">
      <c r="A3" s="7" t="s">
        <v>299</v>
      </c>
    </row>
    <row r="4" spans="1:1" x14ac:dyDescent="0.2">
      <c r="A4" s="7"/>
    </row>
    <row r="5" spans="1:1" ht="16" x14ac:dyDescent="0.2">
      <c r="A5" s="7" t="s">
        <v>300</v>
      </c>
    </row>
    <row r="6" spans="1:1" ht="16" x14ac:dyDescent="0.2">
      <c r="A6" s="7" t="s">
        <v>301</v>
      </c>
    </row>
    <row r="7" spans="1:1" ht="16" x14ac:dyDescent="0.2">
      <c r="A7" s="7" t="s">
        <v>302</v>
      </c>
    </row>
    <row r="8" spans="1:1" x14ac:dyDescent="0.2">
      <c r="A8" s="7"/>
    </row>
    <row r="9" spans="1:1" ht="16" x14ac:dyDescent="0.2">
      <c r="A9" s="7" t="s">
        <v>303</v>
      </c>
    </row>
    <row r="10" spans="1:1" x14ac:dyDescent="0.2">
      <c r="A10" s="7"/>
    </row>
    <row r="11" spans="1:1" ht="16" x14ac:dyDescent="0.2">
      <c r="A11" s="8" t="s">
        <v>304</v>
      </c>
    </row>
    <row r="12" spans="1:1" ht="16" x14ac:dyDescent="0.2">
      <c r="A12" s="7" t="s">
        <v>305</v>
      </c>
    </row>
    <row r="13" spans="1:1" x14ac:dyDescent="0.2">
      <c r="A13" s="7"/>
    </row>
    <row r="14" spans="1:1" ht="16" x14ac:dyDescent="0.2">
      <c r="A14" s="7" t="s">
        <v>306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zoomScaleNormal="100" workbookViewId="0"/>
  </sheetViews>
  <sheetFormatPr baseColWidth="10" defaultColWidth="8.6640625" defaultRowHeight="15" x14ac:dyDescent="0.2"/>
  <cols>
    <col min="1" max="1" width="42" customWidth="1"/>
    <col min="2" max="5" width="18" customWidth="1"/>
  </cols>
  <sheetData>
    <row r="1" spans="1:4" ht="31" x14ac:dyDescent="0.2">
      <c r="A1" s="9" t="s">
        <v>307</v>
      </c>
      <c r="B1" s="9" t="s">
        <v>26</v>
      </c>
      <c r="C1" s="9" t="s">
        <v>39</v>
      </c>
      <c r="D1" s="9" t="s">
        <v>19</v>
      </c>
    </row>
    <row r="2" spans="1:4" x14ac:dyDescent="0.2">
      <c r="A2" s="10" t="s">
        <v>308</v>
      </c>
      <c r="B2" s="10">
        <f>COUNTIF(Grades!$B$2:$B$160,B$1)</f>
        <v>71</v>
      </c>
      <c r="C2" s="10">
        <f>COUNTIF(Grades!$B$2:$B$160,C$1)</f>
        <v>67</v>
      </c>
      <c r="D2" s="10">
        <f>COUNTIF(Grades!$B$2:$B$160,D$1)</f>
        <v>21</v>
      </c>
    </row>
    <row r="3" spans="1:4" x14ac:dyDescent="0.2">
      <c r="A3" s="10" t="s">
        <v>309</v>
      </c>
      <c r="B3" s="10">
        <f>SUMPRODUCT((Grades!$B$2:$B$160=B$1)*(((Grades!$K$2:$K$160="N")+(Grades!$L$2:$L$160="N")+(Grades!$M$2:$M$160="N"))&gt;0))</f>
        <v>5</v>
      </c>
      <c r="C3" s="10">
        <f>SUMPRODUCT((Grades!$B$2:$B$160=C$1)*(((Grades!$K$2:$K$160="N")+(Grades!$L$2:$L$160="N")+(Grades!$M$2:$M$160="N"))&gt;0))</f>
        <v>7</v>
      </c>
      <c r="D3" s="10">
        <f>SUMPRODUCT((Grades!$B$2:$B$160=D$1)*(((Grades!$K$2:$K$160="N")+(Grades!$L$2:$L$160="N")+(Grades!$M$2:$M$160="N"))&gt;0))</f>
        <v>0</v>
      </c>
    </row>
    <row r="4" spans="1:4" x14ac:dyDescent="0.2">
      <c r="A4" s="10" t="s">
        <v>310</v>
      </c>
      <c r="B4" s="11">
        <f>IFERROR(1-B3/B2,0)</f>
        <v>0.92957746478873238</v>
      </c>
      <c r="C4" s="11">
        <f>IFERROR(1-C3/C2,0)</f>
        <v>0.89552238805970152</v>
      </c>
      <c r="D4" s="11">
        <f>IFERROR(1-D3/D2,0)</f>
        <v>1</v>
      </c>
    </row>
    <row r="5" spans="1:4" x14ac:dyDescent="0.2">
      <c r="A5" s="10" t="s">
        <v>311</v>
      </c>
      <c r="B5" s="10">
        <f>COUNTIFS(Grades!$B$2:$B$160,B$1,Grades!$K$2:$K$160,"N")</f>
        <v>4</v>
      </c>
      <c r="C5" s="10">
        <f>COUNTIFS(Grades!$B$2:$B$160,C$1,Grades!$K$2:$K$160,"N")</f>
        <v>6</v>
      </c>
      <c r="D5" s="10">
        <f>COUNTIFS(Grades!$B$2:$B$160,D$1,Grades!$K$2:$K$160,"N")</f>
        <v>0</v>
      </c>
    </row>
    <row r="6" spans="1:4" x14ac:dyDescent="0.2">
      <c r="A6" s="10" t="s">
        <v>312</v>
      </c>
      <c r="B6" s="10">
        <f>COUNTIFS(Grades!$B$2:$B$160,B$1,Grades!$L$2:$L$160,"N")</f>
        <v>1</v>
      </c>
      <c r="C6" s="10">
        <f>COUNTIFS(Grades!$B$2:$B$160,C$1,Grades!$L$2:$L$160,"N")</f>
        <v>2</v>
      </c>
      <c r="D6" s="10">
        <f>COUNTIFS(Grades!$B$2:$B$160,D$1,Grades!$L$2:$L$160,"N")</f>
        <v>0</v>
      </c>
    </row>
    <row r="7" spans="1:4" x14ac:dyDescent="0.2">
      <c r="A7" s="10" t="s">
        <v>313</v>
      </c>
      <c r="B7" s="10">
        <f>COUNTIFS(Grades!$B$2:$B$160,B$1,Grades!$M$2:$M$160,"N")</f>
        <v>0</v>
      </c>
      <c r="C7" s="10">
        <f>COUNTIFS(Grades!$B$2:$B$160,C$1,Grades!$M$2:$M$160,"N")</f>
        <v>0</v>
      </c>
      <c r="D7" s="10">
        <f>COUNTIFS(Grades!$B$2:$B$160,D$1,Grades!$M$2:$M$160,"N")</f>
        <v>0</v>
      </c>
    </row>
    <row r="8" spans="1:4" x14ac:dyDescent="0.2">
      <c r="A8" s="10" t="s">
        <v>314</v>
      </c>
      <c r="B8" s="10">
        <f>COUNTIFS(Grades!$B$2:$B$160,B$1,Grades!$N$2:$N$160,"dropped qualifier*")</f>
        <v>0</v>
      </c>
      <c r="C8" s="10">
        <f>COUNTIFS(Grades!$B$2:$B$160,C$1,Grades!$N$2:$N$160,"dropped qualifier*")</f>
        <v>2</v>
      </c>
      <c r="D8" s="10">
        <f>COUNTIFS(Grades!$B$2:$B$160,D$1,Grades!$N$2:$N$160,"dropped qualifier*")</f>
        <v>0</v>
      </c>
    </row>
    <row r="9" spans="1:4" x14ac:dyDescent="0.2">
      <c r="A9" s="10" t="s">
        <v>315</v>
      </c>
      <c r="B9" s="10">
        <f>COUNTIFS(Grades!$B$2:$B$160,B$1,Grades!$N$2:$N$160,"missing requirement*")</f>
        <v>3</v>
      </c>
      <c r="C9" s="10">
        <f>COUNTIFS(Grades!$B$2:$B$160,C$1,Grades!$N$2:$N$160,"missing requirement*")</f>
        <v>1</v>
      </c>
      <c r="D9" s="10">
        <f>COUNTIFS(Grades!$B$2:$B$160,D$1,Grades!$N$2:$N$160,"missing requirement*")</f>
        <v>0</v>
      </c>
    </row>
    <row r="10" spans="1:4" x14ac:dyDescent="0.2">
      <c r="A10" s="10" t="s">
        <v>316</v>
      </c>
      <c r="B10" s="10">
        <f>COUNTIFS(Grades!$B$2:$B$160,B$1,Grades!$N$2:$N$160,"changed meaning*")</f>
        <v>1</v>
      </c>
      <c r="C10" s="10">
        <f>COUNTIFS(Grades!$B$2:$B$160,C$1,Grades!$N$2:$N$160,"changed meaning*")</f>
        <v>1</v>
      </c>
      <c r="D10" s="10">
        <f>COUNTIFS(Grades!$B$2:$B$160,D$1,Grades!$N$2:$N$160,"changed meaning*")</f>
        <v>0</v>
      </c>
    </row>
    <row r="11" spans="1:4" x14ac:dyDescent="0.2">
      <c r="A11" s="10" t="s">
        <v>317</v>
      </c>
      <c r="B11" s="10">
        <f>COUNTIFS(Grades!$B$2:$B$160,B$1,Grades!$N$2:$N$160,"combined criteria*")</f>
        <v>0</v>
      </c>
      <c r="C11" s="10">
        <f>COUNTIFS(Grades!$B$2:$B$160,C$1,Grades!$N$2:$N$160,"combined criteria*")</f>
        <v>2</v>
      </c>
      <c r="D11" s="10">
        <f>COUNTIFS(Grades!$B$2:$B$160,D$1,Grades!$N$2:$N$160,"combined criteria*")</f>
        <v>0</v>
      </c>
    </row>
    <row r="12" spans="1:4" x14ac:dyDescent="0.2">
      <c r="A12" s="10" t="s">
        <v>318</v>
      </c>
      <c r="B12" s="10">
        <f>COUNTIFS(Grades!$B$2:$B$160,B$1,Grades!$N$2:$N$160,"confusing*")</f>
        <v>1</v>
      </c>
      <c r="C12" s="10">
        <f>COUNTIFS(Grades!$B$2:$B$160,C$1,Grades!$N$2:$N$160,"confusing*")</f>
        <v>1</v>
      </c>
      <c r="D12" s="10">
        <f>COUNTIFS(Grades!$B$2:$B$160,D$1,Grades!$N$2:$N$160,"confusing*")</f>
        <v>0</v>
      </c>
    </row>
    <row r="13" spans="1:4" x14ac:dyDescent="0.2">
      <c r="A13" s="10" t="s">
        <v>319</v>
      </c>
      <c r="B13" s="12">
        <f>AVERAGEIF(Grades!$B$2:$B$160,B$1,Grades!$I$2:$I$160)</f>
        <v>11.766197183098591</v>
      </c>
      <c r="C13" s="12">
        <f>AVERAGEIF(Grades!$B$2:$B$160,C$1,Grades!$I$2:$I$160)</f>
        <v>11.423880597014927</v>
      </c>
      <c r="D13" s="12">
        <f>AVERAGEIF(Grades!$B$2:$B$160,D$1,Grades!$I$2:$I$160)</f>
        <v>9.9999999999999964</v>
      </c>
    </row>
    <row r="14" spans="1:4" x14ac:dyDescent="0.2">
      <c r="A14" s="10" t="s">
        <v>320</v>
      </c>
      <c r="B14" s="12">
        <f>AVERAGEIF(Grades!$B$2:$B$160,B$1,Grades!$J$2:$J$160)</f>
        <v>9.5605633802816907</v>
      </c>
      <c r="C14" s="12">
        <f>AVERAGEIF(Grades!$B$2:$B$160,C$1,Grades!$J$2:$J$160)</f>
        <v>10.437313432835824</v>
      </c>
      <c r="D14" s="12">
        <f>AVERAGEIF(Grades!$B$2:$B$160,D$1,Grades!$J$2:$J$160)</f>
        <v>5.2095238095238088</v>
      </c>
    </row>
    <row r="15" spans="1:4" x14ac:dyDescent="0.2">
      <c r="A15" s="10" t="s">
        <v>321</v>
      </c>
      <c r="B15" s="10">
        <f>COUNTIFS(Grades!$B$2:$B$160,B$1,Grades!$Q$2:$Q$160,"?*")</f>
        <v>6</v>
      </c>
      <c r="C15" s="10">
        <f>COUNTIFS(Grades!$B$2:$B$160,C$1,Grades!$Q$2:$Q$160,"?*")</f>
        <v>9</v>
      </c>
      <c r="D15" s="10">
        <f>COUNTIFS(Grades!$B$2:$B$160,D$1,Grades!$Q$2:$Q$160,"?*")</f>
        <v>1</v>
      </c>
    </row>
    <row r="16" spans="1:4" x14ac:dyDescent="0.2">
      <c r="A16" s="10" t="s">
        <v>322</v>
      </c>
      <c r="B16" s="10">
        <f>COUNTIFS(Grades!$B$2:$B$160,B$1,Grades!$Q$2:$Q$160,"N")</f>
        <v>0</v>
      </c>
      <c r="C16" s="10">
        <f>COUNTIFS(Grades!$B$2:$B$160,C$1,Grades!$Q$2:$Q$160,"N")</f>
        <v>0</v>
      </c>
      <c r="D16" s="10">
        <f>COUNTIFS(Grades!$B$2:$B$160,D$1,Grades!$Q$2:$Q$160,"N")</f>
        <v>0</v>
      </c>
    </row>
    <row r="19" spans="1:5" x14ac:dyDescent="0.2">
      <c r="A19" s="13" t="s">
        <v>323</v>
      </c>
    </row>
    <row r="20" spans="1:5" x14ac:dyDescent="0.2">
      <c r="A20" s="13"/>
      <c r="B20" s="13" t="s">
        <v>324</v>
      </c>
      <c r="C20" s="13" t="s">
        <v>325</v>
      </c>
      <c r="D20" s="13" t="s">
        <v>326</v>
      </c>
      <c r="E20" s="13" t="s">
        <v>327</v>
      </c>
    </row>
    <row r="21" spans="1:5" x14ac:dyDescent="0.2">
      <c r="A21" s="10" t="s">
        <v>26</v>
      </c>
      <c r="B21" s="14">
        <v>0.83</v>
      </c>
      <c r="C21" s="15">
        <v>100</v>
      </c>
      <c r="D21" s="16">
        <f>B4</f>
        <v>0.92957746478873238</v>
      </c>
      <c r="E21">
        <f>B2</f>
        <v>71</v>
      </c>
    </row>
    <row r="22" spans="1:5" x14ac:dyDescent="0.2">
      <c r="A22" s="10" t="s">
        <v>39</v>
      </c>
      <c r="B22" s="14">
        <v>0.90909090909090895</v>
      </c>
      <c r="C22" s="15">
        <v>77</v>
      </c>
      <c r="D22" s="16">
        <f>C4</f>
        <v>0.89552238805970152</v>
      </c>
      <c r="E22">
        <f>C2</f>
        <v>67</v>
      </c>
    </row>
    <row r="23" spans="1:5" x14ac:dyDescent="0.2">
      <c r="A23" s="17" t="s">
        <v>328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Grades</vt:lpstr>
      <vt:lpstr>How to review</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Rohan Gupta Shivaram</cp:lastModifiedBy>
  <cp:revision>0</cp:revision>
  <dcterms:created xsi:type="dcterms:W3CDTF">2026-09-29T05:33:20Z</dcterms:created>
  <dcterms:modified xsi:type="dcterms:W3CDTF">2026-10-03T01:20:13Z</dcterms:modified>
  <dc:language>en-US</dc:language>
</cp:coreProperties>
</file>