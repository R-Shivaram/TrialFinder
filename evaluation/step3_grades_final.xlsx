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rohanshivaram/Downloads/"/>
    </mc:Choice>
  </mc:AlternateContent>
  <xr:revisionPtr revIDLastSave="0" documentId="13_ncr:1_{06C38BBF-A945-FA49-B5FE-90F1ACD4A508}" xr6:coauthVersionLast="47" xr6:coauthVersionMax="47" xr10:uidLastSave="{00000000-0000-0000-0000-000000000000}"/>
  <bookViews>
    <workbookView xWindow="0" yWindow="660" windowWidth="26200" windowHeight="17280" tabRatio="500" activeTab="1" xr2:uid="{00000000-000D-0000-FFFF-FFFF00000000}"/>
  </bookViews>
  <sheets>
    <sheet name="How to review" sheetId="1" r:id="rId1"/>
    <sheet name="Grades" sheetId="2" r:id="rId2"/>
    <sheet name="Needs review" sheetId="3" r:id="rId3"/>
    <sheet name="Summary" sheetId="4" r:id="rId4"/>
  </sheets>
  <definedNames>
    <definedName name="_xlnm._FilterDatabase" localSheetId="1" hidden="1">Grades!$A$1:$R$89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1" i="4" l="1"/>
  <c r="B11" i="4"/>
  <c r="C10" i="4"/>
  <c r="B10" i="4"/>
  <c r="C9" i="4"/>
  <c r="B9" i="4"/>
  <c r="C8" i="4"/>
  <c r="B8" i="4"/>
  <c r="C7" i="4"/>
  <c r="B7" i="4"/>
  <c r="C6" i="4"/>
  <c r="B6" i="4"/>
  <c r="C5" i="4"/>
  <c r="B5" i="4"/>
  <c r="C3" i="4"/>
  <c r="C4" i="4" s="1"/>
  <c r="B3" i="4"/>
  <c r="B4" i="4" s="1"/>
  <c r="B18" i="4" s="1"/>
  <c r="C2" i="4"/>
  <c r="B2" i="4"/>
  <c r="C18" i="4" s="1"/>
</calcChain>
</file>

<file path=xl/sharedStrings.xml><?xml version="1.0" encoding="utf-8"?>
<sst xmlns="http://schemas.openxmlformats.org/spreadsheetml/2006/main" count="1076" uniqueCount="250">
  <si>
    <t>How to review version 3 (held-out test)</t>
  </si>
  <si>
    <t>Version 3 ran on 10 trials the AI had never seen. Claude graded every question; you check the shaded rows.</t>
  </si>
  <si>
    <t>Grades tab - RED rows (2): Claude found a problem. Type Y or N in the yellow 'Rohan agrees?' column.</t>
  </si>
  <si>
    <t>Grades tab - ORANGE rows (7): grades are fine, but something is worth a look (several are trial-level issues, not question errors). Type Y if you agree with the note, N if not.</t>
  </si>
  <si>
    <t>Needs review tab (7 rows): criteria the AI refused to turn into questions because the trial's own text is unclear or contradictory. For each, type Y if you agree it needs a human, N if you think the AI should have handled it.</t>
  </si>
  <si>
    <t>For your write-up: grades are an AI-assisted first pass, reviewed by a human (you).</t>
  </si>
  <si>
    <t>trial_id</t>
  </si>
  <si>
    <t>model</t>
  </si>
  <si>
    <t>question_number</t>
  </si>
  <si>
    <t>criterion_type</t>
  </si>
  <si>
    <t>original_text</t>
  </si>
  <si>
    <t>ai_question</t>
  </si>
  <si>
    <t>answer_that_counts_against</t>
  </si>
  <si>
    <t>sensitive_topic</t>
  </si>
  <si>
    <t>grade_level_original</t>
  </si>
  <si>
    <t>grade_level_question</t>
  </si>
  <si>
    <t>accurate (Y/N)</t>
  </si>
  <si>
    <t>easy to understand (Y/N)</t>
  </si>
  <si>
    <t>correct answer counts against (Y/N)</t>
  </si>
  <si>
    <t>notes</t>
  </si>
  <si>
    <t>flag</t>
  </si>
  <si>
    <t>first-pass grader</t>
  </si>
  <si>
    <t>Rohan agrees? (Y/N)</t>
  </si>
  <si>
    <t>Rohan notes</t>
  </si>
  <si>
    <t>NCT05138432</t>
  </si>
  <si>
    <t>study listing (no AI)</t>
  </si>
  <si>
    <t>inclusion</t>
  </si>
  <si>
    <t>Maximum Age: 18 Years</t>
  </si>
  <si>
    <t>Are you 18 years old or younger?</t>
  </si>
  <si>
    <t>no</t>
  </si>
  <si>
    <t>Y</t>
  </si>
  <si>
    <t>CHECK (trial level): this trial is for children 18 or younger and their families. "Are you..." is wrong if a parent is using the site</t>
  </si>
  <si>
    <t>check</t>
  </si>
  <si>
    <t>Claude</t>
  </si>
  <si>
    <t>Accepts Healthy Volunteers: No · Conditions: Type 2 Diabetes</t>
  </si>
  <si>
    <t>Do you have type 2 diabetes (a long-term condition where your body has trouble using insulin, so your blood sugar runs high)?</t>
  </si>
  <si>
    <t>claude-opus-5</t>
  </si>
  <si>
    <t>Hemoglobin A1c greater than or equal to 6.5</t>
  </si>
  <si>
    <t>Was your last hemoglobin A1c (a blood test that shows your average blood sugar over about 3 months) 6.5 or higher?</t>
  </si>
  <si>
    <t>Receiving care at the Rady Children's Hospital Diabetes Clinic</t>
  </si>
  <si>
    <t>Do you get your diabetes care at the Rady Children's Hospital Diabetes Clinic?</t>
  </si>
  <si>
    <t>exclusion</t>
  </si>
  <si>
    <t>Another immediate family member living in the same household who is already recruited into the study</t>
  </si>
  <si>
    <t>Is another immediate family member who lives in your home already taking part in this study?</t>
  </si>
  <si>
    <t>yes</t>
  </si>
  <si>
    <t>NCT07225218</t>
  </si>
  <si>
    <t>Minimum Age: 17 Years · Maximum Age: 25 Years</t>
  </si>
  <si>
    <t>Are you between 17 and 25 years old?</t>
  </si>
  <si>
    <t>Participants who are currently enrolled (either full time or part time) as an undergraduate at UCLA and meet criteria for the T-UP Wellness Program (students who have a BMI of ≥25 (≥23 for those self- identifying as Asian) and either documented prediabetes or identified as high-risk on a CDC questionnaire).</t>
  </si>
  <si>
    <t>Are you currently enrolled as an undergraduate student at UCLA, either full time or part time?</t>
  </si>
  <si>
    <t>Is your BMI (body mass index, a number based on your height and weight) 25 or higher? If you identify as Asian, is your BMI 23 or higher?</t>
  </si>
  <si>
    <t>Do you have prediabetes (blood sugar higher than normal but not high enough to be diabetes) noted in your medical records, or were you found to be high-risk on a CDC (Centers for Disease Control and Prevention) risk questionnaire?</t>
  </si>
  <si>
    <t>NCT05208164</t>
  </si>
  <si>
    <t>Minimum Age: 21 Years · Maximum Age: 75 Years</t>
  </si>
  <si>
    <t>Are you between 21 and 75 years old?</t>
  </si>
  <si>
    <t>CHECK (trial level): no "Do you have type 2 diabetes?" question here because the listing says healthy volunteers are accepted, but the criteria require type 2 diabetes. Sent to human review</t>
  </si>
  <si>
    <t>Self-identifies as African American or Black</t>
  </si>
  <si>
    <t>Do you identify as African American or Black?</t>
  </si>
  <si>
    <t>Valid address in greater Chicagoland area</t>
  </si>
  <si>
    <t>Do you have a valid home address in the greater Chicago area?</t>
  </si>
  <si>
    <t>Mobile phone with unlimited text-messaging</t>
  </si>
  <si>
    <t>Do you have a mobile phone with unlimited text messaging?</t>
  </si>
  <si>
    <t>Availability to participate in mindfulness class either in-person or online</t>
  </si>
  <si>
    <t>Are you available to take part in a mindfulness class (a class that teaches calm, focused attention), either in person or online?</t>
  </si>
  <si>
    <t>Untreated obstructive sleep apnea (OSA)</t>
  </si>
  <si>
    <t>Do you have obstructive sleep apnea (brief stops in breathing during sleep) that is not being treated?</t>
  </si>
  <si>
    <t>Severe insomnia, narcolepsy, or REM sleep related disorder</t>
  </si>
  <si>
    <t>Do you have severe insomnia (great trouble falling or staying asleep), narcolepsy (falling asleep suddenly during the day), or a REM sleep related disorder (a problem with the dreaming stage of sleep)?</t>
  </si>
  <si>
    <t>Alcohol or drug abuse</t>
  </si>
  <si>
    <t>Do you have problems with alcohol or drug use?</t>
  </si>
  <si>
    <t>Limited English proficiency</t>
  </si>
  <si>
    <t>Is your ability to speak and understand English limited?</t>
  </si>
  <si>
    <t>Currently engaging in mindfulness practice</t>
  </si>
  <si>
    <t>Do you currently have a mindfulness practice (regularly doing mindfulness or meditation)?</t>
  </si>
  <si>
    <t>NCT07032844</t>
  </si>
  <si>
    <t>Minimum Age: 18 Years · Maximum Age: 89 Years</t>
  </si>
  <si>
    <t>Are you between 18 and 89 years old?</t>
  </si>
  <si>
    <t>Hemoglobin A1c ≥7% within 3 months of screening</t>
  </si>
  <si>
    <t>Was your hemoglobin A1c (a blood test that shows your average blood sugar over the past 3 months) 7% or higher on a test done within the last 3 months?</t>
  </si>
  <si>
    <t>Physical Disability</t>
  </si>
  <si>
    <t>Do you have a physical disability?</t>
  </si>
  <si>
    <t>Must have at least 1 additional chronic conditions from the list below Hypertension Congestive Heart Failure Coronary Artery Disease Hyperlipidemia Stroke Arthritis Asthma Cancer Chronic Kidney Disease (Stages 1-4) COPD Osteoporosis Multiple Sclerosis Parkinsons</t>
  </si>
  <si>
    <t>Besides diabetes, do you have at least one of these health problems: high blood pressure, heart failure (heart cannot pump well), coronary artery disease (blocked heart arteries), high cholesterol, stroke, arthritis (joint pain and swelling), asthma, cancer, chronic kidney disease stages 1 to 4 (long-term kidney damage that is not end-stage), COPD (long-term lung disease that makes breathing hard), osteoporosis (thin, weak bones), multiple sclerosis (a nerve disease), or Parkinson's disease (a brain disease that affects movement)?</t>
  </si>
  <si>
    <t>N</t>
  </si>
  <si>
    <t>confusing: lists 13 health conditions in one very long question. Better as a short question with a list underneath, or a few separate questions</t>
  </si>
  <si>
    <t>problem</t>
  </si>
  <si>
    <t>Currently pregnant</t>
  </si>
  <si>
    <t>Are you currently pregnant?</t>
  </si>
  <si>
    <t>Significant vision loss preventing use of phone/tablet for interventions</t>
  </si>
  <si>
    <t>Do you have major vision loss that stops you from using a phone or tablet?</t>
  </si>
  <si>
    <t>Received Remote Patient Monitoring or Digital Health Coaching for T2DM management within 30 days of enrollment</t>
  </si>
  <si>
    <t>In the last 30 days, have you taken part in remote patient monitoring (your health data sent to your care team from home) or digital health coaching for your type 2 diabetes?</t>
  </si>
  <si>
    <t>End-stage kidney disease (on dialysis)</t>
  </si>
  <si>
    <t>Do you have end-stage kidney disease and get dialysis (a treatment that cleans your blood when your kidneys cannot)?</t>
  </si>
  <si>
    <t>Non-english speakers</t>
  </si>
  <si>
    <t>Do you speak English?</t>
  </si>
  <si>
    <t>NCT06028503</t>
  </si>
  <si>
    <t>Minimum Age: 18 Years</t>
  </si>
  <si>
    <t>Are you 18 years old or older?</t>
  </si>
  <si>
    <t>Diagnosed diabetes (self-reported) and with an HbA1c ≥ 6.0 (using point-of-care device)</t>
  </si>
  <si>
    <t>Is your HbA1c (a blood test showing average blood sugar over about 3 months) 6.0 or higher?</t>
  </si>
  <si>
    <t>reliable access to a personal smartphone device 6) zip code is associated with a rural area.</t>
  </si>
  <si>
    <t>Do you have reliable access to your own smartphone?</t>
  </si>
  <si>
    <t>CHECK: the quote shown covers two criteria (smartphone AND rural zip code). The question is fine, but the original text shown is longer than it should be</t>
  </si>
  <si>
    <t>Is your home zip code in a rural area?</t>
  </si>
  <si>
    <t>CHECK: same two-criteria quote as the row above</t>
  </si>
  <si>
    <t>able to speak English</t>
  </si>
  <si>
    <t>Are you able to speak English?</t>
  </si>
  <si>
    <t>has a pacemaker or other implanted electrical medical device</t>
  </si>
  <si>
    <t>Do you have a pacemaker (a small device placed in the chest to help control the heartbeat) or another implanted electrical medical device?</t>
  </si>
  <si>
    <t>Pregnant (management of diabetes while pregnant may require additional medical oversight).</t>
  </si>
  <si>
    <t>Are you pregnant?</t>
  </si>
  <si>
    <t>uses a heavy amount of alcohol or other substances</t>
  </si>
  <si>
    <t>Do you drink a heavy amount of alcohol, or use a heavy amount of other substances (such as drugs)?</t>
  </si>
  <si>
    <t>NCT07662135</t>
  </si>
  <si>
    <t>Accepts Healthy Volunteers: No · Conditions: Type 2 Diabetes Mellitus, Type 2 Diabetes With Chronic Kidney Disease</t>
  </si>
  <si>
    <t>Diagnosed with Type 2 Diabetes Mellitus for at least 90 days prior to screening</t>
  </si>
  <si>
    <t>Were you diagnosed with type 2 diabetes at least 90 days (about 3 months) ago?</t>
  </si>
  <si>
    <t>Impaired renal function</t>
  </si>
  <si>
    <t>Has a doctor told you that your kidneys do not work as well as they should?</t>
  </si>
  <si>
    <t>Body mass index (BMI) of ≥ 23 kg/m2 at screening</t>
  </si>
  <si>
    <t>Is your body mass index (BMI, a number based on your height and weight) 23 kg/m2 or higher?</t>
  </si>
  <si>
    <t>Stable body weight (self-reported or documented) for 90 days prior to screening</t>
  </si>
  <si>
    <t>Has your body weight stayed about the same for the last 90 days (about 3 months)?</t>
  </si>
  <si>
    <t>Type 1 Diabetes, secondary forms of diabetes (including congenital forms), or history of ketoacidosis or hyperosmolar coma</t>
  </si>
  <si>
    <t>Do you have type 1 diabetes, another type of diabetes caused by a different illness or present from birth, or have you ever had ketoacidosis (a dangerous build-up of acids in the blood) or a hyperosmolar coma (a coma caused by very high blood sugar)?</t>
  </si>
  <si>
    <t>Have had more than one episode of severe hypoglycemia within 180 days prior to screening or has a history of hypoglycemia unawareness or poor recognition of hypoglycemic symptoms</t>
  </si>
  <si>
    <t>In the last 180 days (about 6 months), have you had more than one episode of severe low blood sugar (when you needed someone else's help), or do you have trouble feeling or noticing the warning signs of low blood sugar?</t>
  </si>
  <si>
    <t>History of acute or chronic pancreatitis</t>
  </si>
  <si>
    <t>Have you ever had pancreatitis (swelling of the pancreas), either a sudden attack or a long-lasting form?</t>
  </si>
  <si>
    <t>History/family history of medullary thyroid cancer or multiple endocrine neoplasia type 2</t>
  </si>
  <si>
    <t>Have you or a family member ever had medullary thyroid cancer (a rare cancer of the thyroid gland) or multiple endocrine neoplasia type 2 (a rare inherited condition that causes tumors in hormone glands)?</t>
  </si>
  <si>
    <t>NCT07095543</t>
  </si>
  <si>
    <t>CHECK (trial level): listing says 18+, but the criteria say 19+ in Nebraska and Alabama and 21+ in Puerto Rico. Sent to human review</t>
  </si>
  <si>
    <t>Accepts Healthy Volunteers: No · Conditions: Type 2 Diabetes, Overweight and Obese Adults</t>
  </si>
  <si>
    <t>BMI of 25 or more (23 or more in persons of Asian origin).</t>
  </si>
  <si>
    <t>Is your BMI (body mass index, a measure of weight compared to height) 25 or more? If you are of Asian origin, is it 23 or more?</t>
  </si>
  <si>
    <t>Current or expected use of any weight loss medication during the study period, including but not limited to, glucagon-like peptide-1 (GLP-1) receptor agonists and combination GLP-1 receptor/glucose-dependent insulinotropic polypeptide (GIP) agonists.</t>
  </si>
  <si>
    <t>Do you use, or expect to use, any weight loss medicine during the study, such as a GLP-1 receptor agonist or a combined GLP-1/GIP agonist (injectable or oral drugs used for weight loss or diabetes, like semaglutide or tirzepatide)?</t>
  </si>
  <si>
    <t>Use of any weight loss medication within the 12 months preceding the study period, including but not limited to, glucagon-like peptide-1 (GLP-1) receptor agonists and combination GLP-1 receptor/glucose-dependent insulinotropic polypeptide (GIP) agonists.</t>
  </si>
  <si>
    <t>In the 12 months before the study, have you used any weight loss medicine, such as a GLP-1 receptor agonist or a combined GLP-1/GIP agonist (injectable or oral drugs used for weight loss or diabetes, like semaglutide or tirzepatide)?</t>
  </si>
  <si>
    <t>Body weight greater than 182 kg.</t>
  </si>
  <si>
    <t>Do you weigh more than 182 kg (about 401 pounds)?</t>
  </si>
  <si>
    <t>Pregnancy or intention to become pregnant during the study period, as verified by self-report.</t>
  </si>
  <si>
    <t>Are you pregnant, or do you plan to become pregnant during the study?</t>
  </si>
  <si>
    <t>Current diagnosis of eating disorder.</t>
  </si>
  <si>
    <t>Do you currently have a diagnosis of an eating disorder (such as anorexia, bulimia, or binge eating disorder)?</t>
  </si>
  <si>
    <t>Able and willing to travel to Washington DC for a dual-energy х-rау absorptiometry (DXA) scans before and after the program.</t>
  </si>
  <si>
    <t>Are you able and willing to travel to Washington, DC for a DXA scan (a body scan that measures fat, muscle, and bone) before and after the program?</t>
  </si>
  <si>
    <t>Intention to follow another weight loss method during the study period.</t>
  </si>
  <si>
    <t>Do you plan to follow another weight loss method during the study?</t>
  </si>
  <si>
    <t>NCT06546085</t>
  </si>
  <si>
    <t>Minimum Age: 30 Years · Maximum Age: 80 Years</t>
  </si>
  <si>
    <t>Are you between 30 and 80 years old?</t>
  </si>
  <si>
    <t>Not diagnosed with Type 1 diabetes.</t>
  </si>
  <si>
    <t>Have you been diagnosed with type 1 diabetes (a form of diabetes where the body makes little or no insulin, usually starting in childhood)?</t>
  </si>
  <si>
    <t>Evidence of type 1 diabetes and diabetics requiring insulin therapy.</t>
  </si>
  <si>
    <t>Do you need insulin shots to treat your diabetes?</t>
  </si>
  <si>
    <t>Has a body mass index of 20-24.99 or 25.0-45 kg/m2.</t>
  </si>
  <si>
    <t>Is your body mass index (BMI, a number based on your height and weight) between 20 and 45?</t>
  </si>
  <si>
    <t>Participants who have not been weight stable (≥2 kg weight change in past 6 months)</t>
  </si>
  <si>
    <t>In the past 6 months, has your weight changed by 2 kg (about 4.5 pounds) or more?</t>
  </si>
  <si>
    <t>Participants who have been recently active in past 6 months via health screening questions (≥150 min of moderate/high intensity exercise)</t>
  </si>
  <si>
    <t>In the past 6 months, have you been doing 150 minutes or more of moderate or high intensity exercise each week?</t>
  </si>
  <si>
    <t>CHECK: adds "each week." The original just says "150 min" of exercise; per week is almost certainly meant (it is the standard guideline), but it is an added word</t>
  </si>
  <si>
    <t>T2D with HbA1c ≥10.0%</t>
  </si>
  <si>
    <t>Is your most recent HbA1c (a blood test that shows your average blood sugar over about 3 months) 10.0% or higher?</t>
  </si>
  <si>
    <t>Participants who are smokers or who have quit smoking ≤2 years ago</t>
  </si>
  <si>
    <t>Do you smoke, or did you quit smoking within the past 2 years?</t>
  </si>
  <si>
    <t>Pregnant (as evidenced by positive pregnancy test) or nursing women</t>
  </si>
  <si>
    <t>Are you pregnant or breastfeeding?</t>
  </si>
  <si>
    <t>Known hypersensitivity to perflutren (contained in Definity).</t>
  </si>
  <si>
    <t>Do you have a known allergy to perflutren (the active ingredient in the imaging dye Definity)?</t>
  </si>
  <si>
    <t>NCT07340320</t>
  </si>
  <si>
    <t>Minimum Age: 18 Years · Maximum Age: 75 Years</t>
  </si>
  <si>
    <t>Are you between 18 and 75 years old?</t>
  </si>
  <si>
    <t>Accepts Healthy Volunteers: No · Conditions: Type II Diabetes Mellitus</t>
  </si>
  <si>
    <t>Diagnosis of type 2 diabetes for at least 6 months.</t>
  </si>
  <si>
    <t>Have you had type 2 diabetes for at least 6 months?</t>
  </si>
  <si>
    <t>HbA1c between 7.0% and 10.5%.</t>
  </si>
  <si>
    <t>Was your most recent HbA1c (a blood test that shows your average blood sugar over about 3 months) between 7.0% and 10.5%?</t>
  </si>
  <si>
    <t>Body mass index (BMI) between 23 and 50 kg/m².</t>
  </si>
  <si>
    <t>Is your body mass index (BMI, a number based on your height and weight) between 23 and 50 kg/m²?</t>
  </si>
  <si>
    <t>Body weight stable for the past 3 months before joining.</t>
  </si>
  <si>
    <t>Has your body weight stayed about the same for the past 3 months?</t>
  </si>
  <si>
    <t>Stable dose of metformin (≥1000 mg/day), with or without SGLT2i, for ≥3 months.</t>
  </si>
  <si>
    <t>Have you been taking metformin (a common diabetes pill) at 1000 mg a day or more, at the same dose, for at least 3 months?</t>
  </si>
  <si>
    <t>Use of any GLP-1 receptor agonist within the past 6 months, or any prior exposure to CX11.</t>
  </si>
  <si>
    <t>In the past 6 months, have you used a GLP-1 receptor agonist (a diabetes or weight medicine such as semaglutide, dulaglutide, or liraglutide)?</t>
  </si>
  <si>
    <t>missing requirement (minor): leaves out "or any prior exposure to CX11" (the study drug, so few people are affected)</t>
  </si>
  <si>
    <t>Use of insulin to control blood sugar within the past 12 months.</t>
  </si>
  <si>
    <t>In the past 12 months, have you used insulin to control your blood sugar?</t>
  </si>
  <si>
    <t>Type 1 diabetes or a history of diabetic ketoacidosis.</t>
  </si>
  <si>
    <t>Do you have type 1 diabetes, or have you ever had diabetic ketoacidosis (a serious problem where the blood builds up acids called ketones)?</t>
  </si>
  <si>
    <t>NCT07778524</t>
  </si>
  <si>
    <t>Minimum Age: 18 Years · Maximum Age: 70 Years</t>
  </si>
  <si>
    <t>Are you between 18 and 70 years old?</t>
  </si>
  <si>
    <t>CHECK (trial level, important): this trial EXCLUDES people with diabetes, yet it shows up in type 2 diabetes searches and got a 9-question screener. A visitor with diabetes would be misled. Each question below is fine on its own</t>
  </si>
  <si>
    <t>Body mass index of 18-45 kg/m2 (or 18-42 kg/m2 for those of Asian ancestry)</t>
  </si>
  <si>
    <t>Is your body mass index (BMI, a measure of weight compared to height) between 18 and 45 — or between 18 and 42 if you are of Asian ancestry?</t>
  </si>
  <si>
    <t>Documented weight change of ≥ 5.0% of baseline within the previous 3 months</t>
  </si>
  <si>
    <t>In the past 3 months, has your weight changed by 5% or more of your usual weight?</t>
  </si>
  <si>
    <t>History of gestational diabetes mellitus within the previous 5 years</t>
  </si>
  <si>
    <t>Have you had gestational diabetes (diabetes during pregnancy) in the past 5 years?</t>
  </si>
  <si>
    <t>Women currently pregnant</t>
  </si>
  <si>
    <t>Women currently breastfeeding</t>
  </si>
  <si>
    <t>Are you currently breastfeeding?</t>
  </si>
  <si>
    <t>Cardiovascular diseases (N.B. uncomplicated hypertension is not exclusionary)</t>
  </si>
  <si>
    <t>Do you have a heart or blood vessel disease? (High blood pressure alone, without complications, does not count.)</t>
  </si>
  <si>
    <t>Advanced or severe liver disease, including but not limited to:</t>
  </si>
  <si>
    <t>Do you have advanced or severe liver disease (serious damage or scarring of the liver)?</t>
  </si>
  <si>
    <t>History of certain weight-loss (bariatric) surgery, including:
  * Roux-en-Y gastric bypass
  * Biliopancreatic diversion
  * Restrictive procedures (lap band, sleeve gastrectomy) performed within the past 6 months</t>
  </si>
  <si>
    <t>Have you had gastric bypass (Roux-en-Y) or biliopancreatic diversion weight-loss surgery at any time, or a lap band or sleeve gastrectomy (stomach-shrinking surgery) in the past 6 months?</t>
  </si>
  <si>
    <t>Clinical concern for alcohol overuse based on chart review and/or by recruit's report of more than 14 standard drinks per week for males or more than 7 standard drinks per week for females</t>
  </si>
  <si>
    <t>Do you drink more than 14 standard alcoholic drinks per week (if you are male) or more than 7 standard alcoholic drinks per week (if you are female)?</t>
  </si>
  <si>
    <t>problem (written by AI)</t>
  </si>
  <si>
    <t>Rohan agrees it needs a human? (Y/N)</t>
  </si>
  <si>
    <t>Diagnosis of type 2 diabetes</t>
  </si>
  <si>
    <t>The criteria require a diagnosis of type 2 diabetes, but the structured listing says the study accepts healthy volunteers. Someone should check which is correct.</t>
  </si>
  <si>
    <t>HbA1c value:
  1. On stable dose of SGLT2i ≥ 7.0 % to ≤ 10.5% (53 to 91.3 mmol/mol)
  2. SGLT2i-naive ≥ 7.5% to ≤ 10.5% (58 to 91.3 mmol/mol)</t>
  </si>
  <si>
    <t>The required HbA1c range depends on whether the patient takes a stable dose of an SGLT2 inhibitor (7.0-10.5%) or has never taken one (7.5-10.5%). A single patient question cannot cover both ranges without risking a wrong exclusion; someone should decide how to split or word this.</t>
  </si>
  <si>
    <t>Age 19 or older in Nebraska and Alabama. Age 21 or older in Puerto Rico. Age 18 or older in all other states.</t>
  </si>
  <si>
    <t>The criteria set different minimum ages depending on where the person lives (19 in Nebraska and Alabama, 21 in Puerto Rico), but the listing's minimum age is 18 years. Someone needs to check which age limit applies.</t>
  </si>
  <si>
    <t>Prescribed metformin, GLP-1 agonists (oral/injectable), TZDs, DPP-IV inhibitors, Acarbose, SGLT-2 inhibitors ≥6 year.</t>
  </si>
  <si>
    <t>This inclusion criterion requires being prescribed these diabetes medicines for 6 years or more, but the exclusion criterion "Participants prescribed metformin, GLP-1 agonists (oral/injectable), TZDs, DPP-IV inhibitors, Acarbose, SGLT-2 inhibitors within 6 year." appears to rule out the same people. Someone needs to clarify the intended direction and time period.</t>
  </si>
  <si>
    <t>The inclusion criterion sets a lower BMI limit of 20, but the exclusion criterion rules out BMI of 18 or less, so it is unclear whether people with a BMI between 18 and 20 can join.</t>
  </si>
  <si>
    <t>History of having met any of the American Diabetes Association's definitions of diabetes mellitus (i.e., overt diabetes):</t>
  </si>
  <si>
    <t>This criterion, and the related criterion "Laboratory evidence of diabetes mellitus:", rule out anyone with diabetes, but the trial's listed conditions include Type 2 Diabetes. Someone needs to check whether people with type 2 diabetes can take part at all.</t>
  </si>
  <si>
    <t>Use of most antidiabetic medications within the 90 days prior to screening
  * Exceptions: thiazolidinediones, sulfonylureas, meglitinides, DPP4 inhibitors, GLP-1 receptor agonists, SGLT2 inhibitors, amylin mimetics, acarbose, insulin
  * Metformin is acceptable provided that recruits meet all of the inclusion criteria at screening</t>
  </si>
  <si>
    <t>The listed "exceptions" are themselves antidiabetic medicines, and a later criterion says antidiabetic drugs except metformin within 30 days are excluded. It is unclear which medicines and which time period actually rule a person out.</t>
  </si>
  <si>
    <t>Version 3 (held-out)</t>
  </si>
  <si>
    <t>Questions graded</t>
  </si>
  <si>
    <t>Questions with any N</t>
  </si>
  <si>
    <t>% fully correct</t>
  </si>
  <si>
    <t>Accurate = N</t>
  </si>
  <si>
    <t>Easy to understand = N</t>
  </si>
  <si>
    <t>Counts against = N</t>
  </si>
  <si>
    <t>Avg reading grade: original</t>
  </si>
  <si>
    <t>Avg reading grade: question</t>
  </si>
  <si>
    <t>Rows you reviewed</t>
  </si>
  <si>
    <t>Rows you disagreed with</t>
  </si>
  <si>
    <t>Opus across all three versions (AI questions, % fully correct)</t>
  </si>
  <si>
    <t>questions</t>
  </si>
  <si>
    <t>trials</t>
  </si>
  <si>
    <t>Version 1 (same 10 trials)</t>
  </si>
  <si>
    <t>10 tuning trials</t>
  </si>
  <si>
    <t>Version 2 (same 10 trials)</t>
  </si>
  <si>
    <t>Version 3 (10 NEW trials)</t>
  </si>
  <si>
    <t>10 held-out trials</t>
  </si>
  <si>
    <t>Blue values come from your reviewed v1 and v2 files (Opus: 83 of 100 and 66 of 71 fully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</si>
</sst>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charset val="1"/>
    </font>
    <font>
      <sz val="10"/>
      <name val="Arial"/>
      <family val="2"/>
    </font>
    <font>
      <b/>
      <sz val="13"/>
      <name val="Arial"/>
      <family val="2"/>
    </font>
    <font>
      <sz val="11"/>
      <name val="Arial"/>
      <family val="2"/>
    </font>
    <font>
      <b/>
      <sz val="11"/>
      <color rgb="FFFFFFFF"/>
      <name val="Arial"/>
      <family val="2"/>
    </font>
    <font>
      <sz val="10"/>
      <name val="Arial"/>
      <family val="2"/>
    </font>
    <font>
      <b/>
      <sz val="11"/>
      <name val="Arial"/>
      <family val="2"/>
    </font>
    <font>
      <sz val="11"/>
      <color rgb="FF0000FF"/>
      <name val="Arial"/>
      <family val="2"/>
    </font>
    <font>
      <i/>
      <sz val="9"/>
      <name val="Arial"/>
      <family val="2"/>
    </font>
  </fonts>
  <fills count="6">
    <fill>
      <patternFill patternType="none"/>
    </fill>
    <fill>
      <patternFill patternType="gray125"/>
    </fill>
    <fill>
      <patternFill patternType="solid">
        <fgColor rgb="FF1F3A5F"/>
        <bgColor rgb="FF333333"/>
      </patternFill>
    </fill>
    <fill>
      <patternFill patternType="solid">
        <fgColor rgb="FFFFE9CC"/>
        <bgColor rgb="FFFDE2E1"/>
      </patternFill>
    </fill>
    <fill>
      <patternFill patternType="solid">
        <fgColor rgb="FFFFF7CC"/>
        <bgColor rgb="FFFFE9CC"/>
      </patternFill>
    </fill>
    <fill>
      <patternFill patternType="solid">
        <fgColor rgb="FFFDE2E1"/>
        <bgColor rgb="FFFFE9CC"/>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8">
    <xf numFmtId="0" fontId="0" fillId="0" borderId="0" xfId="0"/>
    <xf numFmtId="0" fontId="2" fillId="0" borderId="0" xfId="0" applyFont="1" applyAlignment="1">
      <alignment wrapText="1"/>
    </xf>
    <xf numFmtId="0" fontId="3" fillId="0" borderId="0" xfId="0" applyFont="1" applyAlignment="1">
      <alignment wrapText="1"/>
    </xf>
    <xf numFmtId="0" fontId="4" fillId="2" borderId="1" xfId="0" applyFont="1" applyFill="1" applyBorder="1" applyAlignment="1">
      <alignment vertical="center"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5" fillId="0" borderId="1" xfId="0" applyFont="1" applyBorder="1" applyAlignment="1">
      <alignment vertical="top" wrapText="1"/>
    </xf>
    <xf numFmtId="0" fontId="5" fillId="5" borderId="1" xfId="0" applyFont="1" applyFill="1" applyBorder="1" applyAlignment="1">
      <alignment vertical="top" wrapText="1"/>
    </xf>
    <xf numFmtId="0" fontId="4" fillId="2" borderId="0" xfId="0" applyFont="1" applyFill="1" applyAlignment="1">
      <alignment wrapText="1"/>
    </xf>
    <xf numFmtId="0" fontId="3" fillId="0" borderId="0" xfId="0" applyFont="1"/>
    <xf numFmtId="164" fontId="3" fillId="0" borderId="0" xfId="0" applyNumberFormat="1" applyFont="1"/>
    <xf numFmtId="165" fontId="3" fillId="0" borderId="0" xfId="0" applyNumberFormat="1" applyFont="1"/>
    <xf numFmtId="0" fontId="6" fillId="0" borderId="0" xfId="0" applyFont="1"/>
    <xf numFmtId="164" fontId="7" fillId="0" borderId="0" xfId="0" applyNumberFormat="1" applyFont="1"/>
    <xf numFmtId="0" fontId="7" fillId="0" borderId="0" xfId="0" applyFont="1"/>
    <xf numFmtId="164" fontId="0" fillId="0" borderId="0" xfId="0" applyNumberFormat="1"/>
    <xf numFmtId="0" fontId="8" fillId="0" borderId="0" xfId="0" applyFont="1"/>
    <xf numFmtId="0" fontId="1" fillId="4"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E9CC"/>
      <rgbColor rgb="FF99CCFF"/>
      <rgbColor rgb="FFFF99CC"/>
      <rgbColor rgb="FFCC99FF"/>
      <rgbColor rgb="FFFDE2E1"/>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zoomScaleNormal="100" workbookViewId="0"/>
  </sheetViews>
  <sheetFormatPr baseColWidth="10" defaultColWidth="8.6640625" defaultRowHeight="15" x14ac:dyDescent="0.2"/>
  <cols>
    <col min="1" max="1" width="120" customWidth="1"/>
  </cols>
  <sheetData>
    <row r="1" spans="1:1" ht="18" x14ac:dyDescent="0.2">
      <c r="A1" s="1" t="s">
        <v>0</v>
      </c>
    </row>
    <row r="2" spans="1:1" x14ac:dyDescent="0.2">
      <c r="A2" s="2"/>
    </row>
    <row r="3" spans="1:1" ht="16" x14ac:dyDescent="0.2">
      <c r="A3" s="2" t="s">
        <v>1</v>
      </c>
    </row>
    <row r="4" spans="1:1" x14ac:dyDescent="0.2">
      <c r="A4" s="2"/>
    </row>
    <row r="5" spans="1:1" ht="16" x14ac:dyDescent="0.2">
      <c r="A5" s="2" t="s">
        <v>2</v>
      </c>
    </row>
    <row r="6" spans="1:1" ht="31" x14ac:dyDescent="0.2">
      <c r="A6" s="2" t="s">
        <v>3</v>
      </c>
    </row>
    <row r="7" spans="1:1" x14ac:dyDescent="0.2">
      <c r="A7" s="2"/>
    </row>
    <row r="8" spans="1:1" ht="31" x14ac:dyDescent="0.2">
      <c r="A8" s="2" t="s">
        <v>4</v>
      </c>
    </row>
    <row r="9" spans="1:1" x14ac:dyDescent="0.2">
      <c r="A9" s="2"/>
    </row>
    <row r="10" spans="1:1" ht="16" x14ac:dyDescent="0.2">
      <c r="A10" s="2" t="s">
        <v>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9"/>
  <sheetViews>
    <sheetView tabSelected="1" zoomScaleNormal="100" workbookViewId="0">
      <pane xSplit="5" ySplit="1" topLeftCell="F2" activePane="bottomRight" state="frozen"/>
      <selection pane="topRight" activeCell="F1" sqref="F1"/>
      <selection pane="bottomLeft" activeCell="A2" sqref="A2"/>
      <selection pane="bottomRight" activeCell="Q79" sqref="Q79"/>
    </sheetView>
  </sheetViews>
  <sheetFormatPr baseColWidth="10" defaultColWidth="8.6640625" defaultRowHeight="15" x14ac:dyDescent="0.2"/>
  <cols>
    <col min="1" max="1" width="13" customWidth="1"/>
    <col min="2" max="2" width="15" customWidth="1"/>
    <col min="3" max="3" width="9" customWidth="1"/>
    <col min="4" max="4" width="11" customWidth="1"/>
    <col min="5" max="6" width="50" customWidth="1"/>
    <col min="7" max="7" width="12" customWidth="1"/>
    <col min="8" max="10" width="10" customWidth="1"/>
    <col min="11" max="12" width="11" customWidth="1"/>
    <col min="13" max="13" width="13" customWidth="1"/>
    <col min="14" max="14" width="55" customWidth="1"/>
    <col min="15" max="15" width="10" customWidth="1"/>
    <col min="16" max="16" width="11" customWidth="1"/>
    <col min="17" max="17" width="12" customWidth="1"/>
    <col min="18" max="18" width="35" customWidth="1"/>
  </cols>
  <sheetData>
    <row r="1" spans="1:18" ht="45" customHeight="1" x14ac:dyDescent="0.2">
      <c r="A1" s="3" t="s">
        <v>6</v>
      </c>
      <c r="B1" s="3" t="s">
        <v>7</v>
      </c>
      <c r="C1" s="3" t="s">
        <v>8</v>
      </c>
      <c r="D1" s="3" t="s">
        <v>9</v>
      </c>
      <c r="E1" s="3" t="s">
        <v>10</v>
      </c>
      <c r="F1" s="3" t="s">
        <v>11</v>
      </c>
      <c r="G1" s="3" t="s">
        <v>12</v>
      </c>
      <c r="H1" s="3" t="s">
        <v>13</v>
      </c>
      <c r="I1" s="3" t="s">
        <v>14</v>
      </c>
      <c r="J1" s="3" t="s">
        <v>15</v>
      </c>
      <c r="K1" s="3" t="s">
        <v>16</v>
      </c>
      <c r="L1" s="3" t="s">
        <v>17</v>
      </c>
      <c r="M1" s="3" t="s">
        <v>18</v>
      </c>
      <c r="N1" s="3" t="s">
        <v>19</v>
      </c>
      <c r="O1" s="3" t="s">
        <v>20</v>
      </c>
      <c r="P1" s="3" t="s">
        <v>21</v>
      </c>
      <c r="Q1" s="3" t="s">
        <v>22</v>
      </c>
      <c r="R1" s="3" t="s">
        <v>23</v>
      </c>
    </row>
    <row r="2" spans="1:18" ht="28" x14ac:dyDescent="0.2">
      <c r="A2" s="4" t="s">
        <v>24</v>
      </c>
      <c r="B2" s="4" t="s">
        <v>25</v>
      </c>
      <c r="C2" s="4">
        <v>1</v>
      </c>
      <c r="D2" s="4" t="s">
        <v>26</v>
      </c>
      <c r="E2" s="4" t="s">
        <v>27</v>
      </c>
      <c r="F2" s="4" t="s">
        <v>28</v>
      </c>
      <c r="G2" s="4" t="s">
        <v>29</v>
      </c>
      <c r="H2" s="4" t="s">
        <v>29</v>
      </c>
      <c r="I2" s="4">
        <v>3.7</v>
      </c>
      <c r="J2" s="4">
        <v>0.6</v>
      </c>
      <c r="K2" s="4" t="s">
        <v>30</v>
      </c>
      <c r="L2" s="4" t="s">
        <v>30</v>
      </c>
      <c r="M2" s="4" t="s">
        <v>30</v>
      </c>
      <c r="N2" s="4" t="s">
        <v>31</v>
      </c>
      <c r="O2" s="4" t="s">
        <v>32</v>
      </c>
      <c r="P2" s="4" t="s">
        <v>33</v>
      </c>
      <c r="Q2" s="17" t="s">
        <v>30</v>
      </c>
      <c r="R2" s="5"/>
    </row>
    <row r="3" spans="1:18" ht="42" x14ac:dyDescent="0.2">
      <c r="A3" s="6" t="s">
        <v>24</v>
      </c>
      <c r="B3" s="6" t="s">
        <v>25</v>
      </c>
      <c r="C3" s="6">
        <v>2</v>
      </c>
      <c r="D3" s="6" t="s">
        <v>26</v>
      </c>
      <c r="E3" s="6" t="s">
        <v>34</v>
      </c>
      <c r="F3" s="6" t="s">
        <v>35</v>
      </c>
      <c r="G3" s="6" t="s">
        <v>29</v>
      </c>
      <c r="H3" s="6" t="s">
        <v>29</v>
      </c>
      <c r="I3" s="6">
        <v>12.6</v>
      </c>
      <c r="J3" s="6">
        <v>11.2</v>
      </c>
      <c r="K3" s="6" t="s">
        <v>30</v>
      </c>
      <c r="L3" s="6" t="s">
        <v>30</v>
      </c>
      <c r="M3" s="6" t="s">
        <v>30</v>
      </c>
      <c r="N3" s="6"/>
      <c r="O3" s="6"/>
      <c r="P3" s="6" t="s">
        <v>33</v>
      </c>
      <c r="Q3" s="5"/>
      <c r="R3" s="5"/>
    </row>
    <row r="4" spans="1:18" ht="28" x14ac:dyDescent="0.2">
      <c r="A4" s="6" t="s">
        <v>24</v>
      </c>
      <c r="B4" s="6" t="s">
        <v>36</v>
      </c>
      <c r="C4" s="6">
        <v>3</v>
      </c>
      <c r="D4" s="6" t="s">
        <v>26</v>
      </c>
      <c r="E4" s="6" t="s">
        <v>37</v>
      </c>
      <c r="F4" s="6" t="s">
        <v>38</v>
      </c>
      <c r="G4" s="6" t="s">
        <v>29</v>
      </c>
      <c r="H4" s="6" t="s">
        <v>29</v>
      </c>
      <c r="I4" s="6">
        <v>6.7</v>
      </c>
      <c r="J4" s="6">
        <v>5.4</v>
      </c>
      <c r="K4" s="6" t="s">
        <v>30</v>
      </c>
      <c r="L4" s="6" t="s">
        <v>30</v>
      </c>
      <c r="M4" s="6" t="s">
        <v>30</v>
      </c>
      <c r="N4" s="6"/>
      <c r="O4" s="6"/>
      <c r="P4" s="6" t="s">
        <v>33</v>
      </c>
      <c r="Q4" s="5"/>
      <c r="R4" s="5"/>
    </row>
    <row r="5" spans="1:18" ht="28" x14ac:dyDescent="0.2">
      <c r="A5" s="6" t="s">
        <v>24</v>
      </c>
      <c r="B5" s="6" t="s">
        <v>36</v>
      </c>
      <c r="C5" s="6">
        <v>4</v>
      </c>
      <c r="D5" s="6" t="s">
        <v>26</v>
      </c>
      <c r="E5" s="6" t="s">
        <v>39</v>
      </c>
      <c r="F5" s="6" t="s">
        <v>40</v>
      </c>
      <c r="G5" s="6" t="s">
        <v>29</v>
      </c>
      <c r="H5" s="6" t="s">
        <v>29</v>
      </c>
      <c r="I5" s="6">
        <v>12.8</v>
      </c>
      <c r="J5" s="6">
        <v>11.3</v>
      </c>
      <c r="K5" s="6" t="s">
        <v>30</v>
      </c>
      <c r="L5" s="6" t="s">
        <v>30</v>
      </c>
      <c r="M5" s="6" t="s">
        <v>30</v>
      </c>
      <c r="N5" s="6"/>
      <c r="O5" s="6"/>
      <c r="P5" s="6" t="s">
        <v>33</v>
      </c>
      <c r="Q5" s="5"/>
      <c r="R5" s="5"/>
    </row>
    <row r="6" spans="1:18" ht="28" x14ac:dyDescent="0.2">
      <c r="A6" s="6" t="s">
        <v>24</v>
      </c>
      <c r="B6" s="6" t="s">
        <v>36</v>
      </c>
      <c r="C6" s="6">
        <v>5</v>
      </c>
      <c r="D6" s="6" t="s">
        <v>41</v>
      </c>
      <c r="E6" s="6" t="s">
        <v>42</v>
      </c>
      <c r="F6" s="6" t="s">
        <v>43</v>
      </c>
      <c r="G6" s="6" t="s">
        <v>44</v>
      </c>
      <c r="H6" s="6" t="s">
        <v>29</v>
      </c>
      <c r="I6" s="6">
        <v>14.3</v>
      </c>
      <c r="J6" s="6">
        <v>11.3</v>
      </c>
      <c r="K6" s="6" t="s">
        <v>30</v>
      </c>
      <c r="L6" s="6" t="s">
        <v>30</v>
      </c>
      <c r="M6" s="6" t="s">
        <v>30</v>
      </c>
      <c r="N6" s="6"/>
      <c r="O6" s="6"/>
      <c r="P6" s="6" t="s">
        <v>33</v>
      </c>
      <c r="Q6" s="5"/>
      <c r="R6" s="5"/>
    </row>
    <row r="7" spans="1:18" ht="28" x14ac:dyDescent="0.2">
      <c r="A7" s="6" t="s">
        <v>45</v>
      </c>
      <c r="B7" s="6" t="s">
        <v>25</v>
      </c>
      <c r="C7" s="6">
        <v>1</v>
      </c>
      <c r="D7" s="6" t="s">
        <v>26</v>
      </c>
      <c r="E7" s="6" t="s">
        <v>46</v>
      </c>
      <c r="F7" s="6" t="s">
        <v>47</v>
      </c>
      <c r="G7" s="6" t="s">
        <v>29</v>
      </c>
      <c r="H7" s="6" t="s">
        <v>29</v>
      </c>
      <c r="I7" s="6">
        <v>5.2</v>
      </c>
      <c r="J7" s="6">
        <v>0.8</v>
      </c>
      <c r="K7" s="6" t="s">
        <v>30</v>
      </c>
      <c r="L7" s="6" t="s">
        <v>30</v>
      </c>
      <c r="M7" s="6" t="s">
        <v>30</v>
      </c>
      <c r="N7" s="6"/>
      <c r="O7" s="6"/>
      <c r="P7" s="6" t="s">
        <v>33</v>
      </c>
      <c r="Q7" s="5"/>
      <c r="R7" s="5"/>
    </row>
    <row r="8" spans="1:18" ht="84" x14ac:dyDescent="0.2">
      <c r="A8" s="6" t="s">
        <v>45</v>
      </c>
      <c r="B8" s="6" t="s">
        <v>36</v>
      </c>
      <c r="C8" s="6">
        <v>2</v>
      </c>
      <c r="D8" s="6" t="s">
        <v>26</v>
      </c>
      <c r="E8" s="6" t="s">
        <v>48</v>
      </c>
      <c r="F8" s="6" t="s">
        <v>49</v>
      </c>
      <c r="G8" s="6" t="s">
        <v>29</v>
      </c>
      <c r="H8" s="6" t="s">
        <v>29</v>
      </c>
      <c r="I8" s="6">
        <v>24.4</v>
      </c>
      <c r="J8" s="6">
        <v>9.1</v>
      </c>
      <c r="K8" s="6" t="s">
        <v>30</v>
      </c>
      <c r="L8" s="6" t="s">
        <v>30</v>
      </c>
      <c r="M8" s="6" t="s">
        <v>30</v>
      </c>
      <c r="N8" s="6"/>
      <c r="O8" s="6"/>
      <c r="P8" s="6" t="s">
        <v>33</v>
      </c>
      <c r="Q8" s="5"/>
      <c r="R8" s="5"/>
    </row>
    <row r="9" spans="1:18" ht="84" x14ac:dyDescent="0.2">
      <c r="A9" s="6" t="s">
        <v>45</v>
      </c>
      <c r="B9" s="6" t="s">
        <v>36</v>
      </c>
      <c r="C9" s="6">
        <v>3</v>
      </c>
      <c r="D9" s="6" t="s">
        <v>26</v>
      </c>
      <c r="E9" s="6" t="s">
        <v>48</v>
      </c>
      <c r="F9" s="6" t="s">
        <v>50</v>
      </c>
      <c r="G9" s="6" t="s">
        <v>29</v>
      </c>
      <c r="H9" s="6" t="s">
        <v>29</v>
      </c>
      <c r="I9" s="6">
        <v>24.4</v>
      </c>
      <c r="J9" s="6">
        <v>5.5</v>
      </c>
      <c r="K9" s="6" t="s">
        <v>30</v>
      </c>
      <c r="L9" s="6" t="s">
        <v>30</v>
      </c>
      <c r="M9" s="6" t="s">
        <v>30</v>
      </c>
      <c r="N9" s="6"/>
      <c r="O9" s="6"/>
      <c r="P9" s="6" t="s">
        <v>33</v>
      </c>
      <c r="Q9" s="5"/>
      <c r="R9" s="5"/>
    </row>
    <row r="10" spans="1:18" ht="84" x14ac:dyDescent="0.2">
      <c r="A10" s="6" t="s">
        <v>45</v>
      </c>
      <c r="B10" s="6" t="s">
        <v>36</v>
      </c>
      <c r="C10" s="6">
        <v>4</v>
      </c>
      <c r="D10" s="6" t="s">
        <v>26</v>
      </c>
      <c r="E10" s="6" t="s">
        <v>48</v>
      </c>
      <c r="F10" s="6" t="s">
        <v>51</v>
      </c>
      <c r="G10" s="6" t="s">
        <v>29</v>
      </c>
      <c r="H10" s="6" t="s">
        <v>29</v>
      </c>
      <c r="I10" s="6">
        <v>24.4</v>
      </c>
      <c r="J10" s="6">
        <v>18.7</v>
      </c>
      <c r="K10" s="6" t="s">
        <v>30</v>
      </c>
      <c r="L10" s="6" t="s">
        <v>30</v>
      </c>
      <c r="M10" s="6" t="s">
        <v>30</v>
      </c>
      <c r="N10" s="6"/>
      <c r="O10" s="6"/>
      <c r="P10" s="6" t="s">
        <v>33</v>
      </c>
      <c r="Q10" s="5"/>
      <c r="R10" s="5"/>
    </row>
    <row r="11" spans="1:18" ht="42" x14ac:dyDescent="0.2">
      <c r="A11" s="4" t="s">
        <v>52</v>
      </c>
      <c r="B11" s="4" t="s">
        <v>25</v>
      </c>
      <c r="C11" s="4">
        <v>1</v>
      </c>
      <c r="D11" s="4" t="s">
        <v>26</v>
      </c>
      <c r="E11" s="4" t="s">
        <v>53</v>
      </c>
      <c r="F11" s="4" t="s">
        <v>54</v>
      </c>
      <c r="G11" s="4" t="s">
        <v>29</v>
      </c>
      <c r="H11" s="4" t="s">
        <v>29</v>
      </c>
      <c r="I11" s="4">
        <v>5.2</v>
      </c>
      <c r="J11" s="4">
        <v>0.8</v>
      </c>
      <c r="K11" s="4" t="s">
        <v>30</v>
      </c>
      <c r="L11" s="4" t="s">
        <v>30</v>
      </c>
      <c r="M11" s="4" t="s">
        <v>30</v>
      </c>
      <c r="N11" s="4" t="s">
        <v>55</v>
      </c>
      <c r="O11" s="4" t="s">
        <v>32</v>
      </c>
      <c r="P11" s="4" t="s">
        <v>33</v>
      </c>
      <c r="Q11" s="17" t="s">
        <v>30</v>
      </c>
      <c r="R11" s="5"/>
    </row>
    <row r="12" spans="1:18" x14ac:dyDescent="0.2">
      <c r="A12" s="6" t="s">
        <v>52</v>
      </c>
      <c r="B12" s="6" t="s">
        <v>36</v>
      </c>
      <c r="C12" s="6">
        <v>2</v>
      </c>
      <c r="D12" s="6" t="s">
        <v>26</v>
      </c>
      <c r="E12" s="6" t="s">
        <v>56</v>
      </c>
      <c r="F12" s="6" t="s">
        <v>57</v>
      </c>
      <c r="G12" s="6" t="s">
        <v>29</v>
      </c>
      <c r="H12" s="6" t="s">
        <v>29</v>
      </c>
      <c r="I12" s="6">
        <v>16.2</v>
      </c>
      <c r="J12" s="6">
        <v>11.1</v>
      </c>
      <c r="K12" s="6" t="s">
        <v>30</v>
      </c>
      <c r="L12" s="6" t="s">
        <v>30</v>
      </c>
      <c r="M12" s="6" t="s">
        <v>30</v>
      </c>
      <c r="N12" s="6"/>
      <c r="O12" s="6"/>
      <c r="P12" s="6" t="s">
        <v>33</v>
      </c>
      <c r="Q12" s="5"/>
      <c r="R12" s="5"/>
    </row>
    <row r="13" spans="1:18" ht="28" x14ac:dyDescent="0.2">
      <c r="A13" s="6" t="s">
        <v>52</v>
      </c>
      <c r="B13" s="6" t="s">
        <v>36</v>
      </c>
      <c r="C13" s="6">
        <v>3</v>
      </c>
      <c r="D13" s="6" t="s">
        <v>26</v>
      </c>
      <c r="E13" s="6" t="s">
        <v>58</v>
      </c>
      <c r="F13" s="6" t="s">
        <v>59</v>
      </c>
      <c r="G13" s="6" t="s">
        <v>29</v>
      </c>
      <c r="H13" s="6" t="s">
        <v>29</v>
      </c>
      <c r="I13" s="6">
        <v>8.4</v>
      </c>
      <c r="J13" s="6">
        <v>7.8</v>
      </c>
      <c r="K13" s="6" t="s">
        <v>30</v>
      </c>
      <c r="L13" s="6" t="s">
        <v>30</v>
      </c>
      <c r="M13" s="6" t="s">
        <v>30</v>
      </c>
      <c r="N13" s="6"/>
      <c r="O13" s="6"/>
      <c r="P13" s="6" t="s">
        <v>33</v>
      </c>
      <c r="Q13" s="5"/>
      <c r="R13" s="5"/>
    </row>
    <row r="14" spans="1:18" x14ac:dyDescent="0.2">
      <c r="A14" s="6" t="s">
        <v>52</v>
      </c>
      <c r="B14" s="6" t="s">
        <v>36</v>
      </c>
      <c r="C14" s="6">
        <v>4</v>
      </c>
      <c r="D14" s="6" t="s">
        <v>26</v>
      </c>
      <c r="E14" s="6" t="s">
        <v>60</v>
      </c>
      <c r="F14" s="6" t="s">
        <v>61</v>
      </c>
      <c r="G14" s="6" t="s">
        <v>29</v>
      </c>
      <c r="H14" s="6" t="s">
        <v>29</v>
      </c>
      <c r="I14" s="6">
        <v>12.3</v>
      </c>
      <c r="J14" s="6">
        <v>7.2</v>
      </c>
      <c r="K14" s="6" t="s">
        <v>30</v>
      </c>
      <c r="L14" s="6" t="s">
        <v>30</v>
      </c>
      <c r="M14" s="6" t="s">
        <v>30</v>
      </c>
      <c r="N14" s="6"/>
      <c r="O14" s="6"/>
      <c r="P14" s="6" t="s">
        <v>33</v>
      </c>
      <c r="Q14" s="5"/>
      <c r="R14" s="5"/>
    </row>
    <row r="15" spans="1:18" ht="42" x14ac:dyDescent="0.2">
      <c r="A15" s="6" t="s">
        <v>52</v>
      </c>
      <c r="B15" s="6" t="s">
        <v>36</v>
      </c>
      <c r="C15" s="6">
        <v>5</v>
      </c>
      <c r="D15" s="6" t="s">
        <v>26</v>
      </c>
      <c r="E15" s="6" t="s">
        <v>62</v>
      </c>
      <c r="F15" s="6" t="s">
        <v>63</v>
      </c>
      <c r="G15" s="6" t="s">
        <v>29</v>
      </c>
      <c r="H15" s="6" t="s">
        <v>29</v>
      </c>
      <c r="I15" s="6">
        <v>16.600000000000001</v>
      </c>
      <c r="J15" s="6">
        <v>11.2</v>
      </c>
      <c r="K15" s="6" t="s">
        <v>30</v>
      </c>
      <c r="L15" s="6" t="s">
        <v>30</v>
      </c>
      <c r="M15" s="6" t="s">
        <v>30</v>
      </c>
      <c r="N15" s="6"/>
      <c r="O15" s="6"/>
      <c r="P15" s="6" t="s">
        <v>33</v>
      </c>
      <c r="Q15" s="5"/>
      <c r="R15" s="5"/>
    </row>
    <row r="16" spans="1:18" ht="28" x14ac:dyDescent="0.2">
      <c r="A16" s="6" t="s">
        <v>52</v>
      </c>
      <c r="B16" s="6" t="s">
        <v>36</v>
      </c>
      <c r="C16" s="6">
        <v>6</v>
      </c>
      <c r="D16" s="6" t="s">
        <v>41</v>
      </c>
      <c r="E16" s="6" t="s">
        <v>64</v>
      </c>
      <c r="F16" s="6" t="s">
        <v>65</v>
      </c>
      <c r="G16" s="6" t="s">
        <v>44</v>
      </c>
      <c r="H16" s="6" t="s">
        <v>29</v>
      </c>
      <c r="I16" s="6">
        <v>12.3</v>
      </c>
      <c r="J16" s="6">
        <v>8.4</v>
      </c>
      <c r="K16" s="6" t="s">
        <v>30</v>
      </c>
      <c r="L16" s="6" t="s">
        <v>30</v>
      </c>
      <c r="M16" s="6" t="s">
        <v>30</v>
      </c>
      <c r="N16" s="6"/>
      <c r="O16" s="6"/>
      <c r="P16" s="6" t="s">
        <v>33</v>
      </c>
      <c r="Q16" s="5"/>
      <c r="R16" s="5"/>
    </row>
    <row r="17" spans="1:18" ht="56" x14ac:dyDescent="0.2">
      <c r="A17" s="6" t="s">
        <v>52</v>
      </c>
      <c r="B17" s="6" t="s">
        <v>36</v>
      </c>
      <c r="C17" s="6">
        <v>7</v>
      </c>
      <c r="D17" s="6" t="s">
        <v>41</v>
      </c>
      <c r="E17" s="6" t="s">
        <v>66</v>
      </c>
      <c r="F17" s="6" t="s">
        <v>67</v>
      </c>
      <c r="G17" s="6" t="s">
        <v>44</v>
      </c>
      <c r="H17" s="6" t="s">
        <v>29</v>
      </c>
      <c r="I17" s="6">
        <v>15.6</v>
      </c>
      <c r="J17" s="6">
        <v>16.8</v>
      </c>
      <c r="K17" s="6" t="s">
        <v>30</v>
      </c>
      <c r="L17" s="6" t="s">
        <v>30</v>
      </c>
      <c r="M17" s="6" t="s">
        <v>30</v>
      </c>
      <c r="N17" s="6"/>
      <c r="O17" s="6"/>
      <c r="P17" s="6" t="s">
        <v>33</v>
      </c>
      <c r="Q17" s="5"/>
      <c r="R17" s="5"/>
    </row>
    <row r="18" spans="1:18" x14ac:dyDescent="0.2">
      <c r="A18" s="6" t="s">
        <v>52</v>
      </c>
      <c r="B18" s="6" t="s">
        <v>36</v>
      </c>
      <c r="C18" s="6">
        <v>8</v>
      </c>
      <c r="D18" s="6" t="s">
        <v>41</v>
      </c>
      <c r="E18" s="6" t="s">
        <v>68</v>
      </c>
      <c r="F18" s="6" t="s">
        <v>69</v>
      </c>
      <c r="G18" s="6" t="s">
        <v>44</v>
      </c>
      <c r="H18" s="6" t="s">
        <v>44</v>
      </c>
      <c r="I18" s="6">
        <v>6.6</v>
      </c>
      <c r="J18" s="6">
        <v>3.7</v>
      </c>
      <c r="K18" s="6" t="s">
        <v>30</v>
      </c>
      <c r="L18" s="6" t="s">
        <v>30</v>
      </c>
      <c r="M18" s="6" t="s">
        <v>30</v>
      </c>
      <c r="N18" s="6"/>
      <c r="O18" s="6"/>
      <c r="P18" s="6" t="s">
        <v>33</v>
      </c>
      <c r="Q18" s="5"/>
      <c r="R18" s="5"/>
    </row>
    <row r="19" spans="1:18" x14ac:dyDescent="0.2">
      <c r="A19" s="6" t="s">
        <v>52</v>
      </c>
      <c r="B19" s="6" t="s">
        <v>36</v>
      </c>
      <c r="C19" s="6">
        <v>9</v>
      </c>
      <c r="D19" s="6" t="s">
        <v>41</v>
      </c>
      <c r="E19" s="6" t="s">
        <v>70</v>
      </c>
      <c r="F19" s="6" t="s">
        <v>71</v>
      </c>
      <c r="G19" s="6" t="s">
        <v>44</v>
      </c>
      <c r="H19" s="6" t="s">
        <v>29</v>
      </c>
      <c r="I19" s="6">
        <v>21</v>
      </c>
      <c r="J19" s="6">
        <v>10.199999999999999</v>
      </c>
      <c r="K19" s="6" t="s">
        <v>30</v>
      </c>
      <c r="L19" s="6" t="s">
        <v>30</v>
      </c>
      <c r="M19" s="6" t="s">
        <v>30</v>
      </c>
      <c r="N19" s="6"/>
      <c r="O19" s="6"/>
      <c r="P19" s="6" t="s">
        <v>33</v>
      </c>
      <c r="Q19" s="5"/>
      <c r="R19" s="5"/>
    </row>
    <row r="20" spans="1:18" ht="28" x14ac:dyDescent="0.2">
      <c r="A20" s="6" t="s">
        <v>52</v>
      </c>
      <c r="B20" s="6" t="s">
        <v>36</v>
      </c>
      <c r="C20" s="6">
        <v>10</v>
      </c>
      <c r="D20" s="6" t="s">
        <v>41</v>
      </c>
      <c r="E20" s="6" t="s">
        <v>72</v>
      </c>
      <c r="F20" s="6" t="s">
        <v>73</v>
      </c>
      <c r="G20" s="6" t="s">
        <v>44</v>
      </c>
      <c r="H20" s="6" t="s">
        <v>29</v>
      </c>
      <c r="I20" s="6">
        <v>14.7</v>
      </c>
      <c r="J20" s="6">
        <v>14.7</v>
      </c>
      <c r="K20" s="6" t="s">
        <v>30</v>
      </c>
      <c r="L20" s="6" t="s">
        <v>30</v>
      </c>
      <c r="M20" s="6" t="s">
        <v>30</v>
      </c>
      <c r="N20" s="6"/>
      <c r="O20" s="6"/>
      <c r="P20" s="6" t="s">
        <v>33</v>
      </c>
      <c r="Q20" s="5"/>
      <c r="R20" s="5"/>
    </row>
    <row r="21" spans="1:18" ht="28" x14ac:dyDescent="0.2">
      <c r="A21" s="6" t="s">
        <v>74</v>
      </c>
      <c r="B21" s="6" t="s">
        <v>25</v>
      </c>
      <c r="C21" s="6">
        <v>1</v>
      </c>
      <c r="D21" s="6" t="s">
        <v>26</v>
      </c>
      <c r="E21" s="6" t="s">
        <v>75</v>
      </c>
      <c r="F21" s="6" t="s">
        <v>76</v>
      </c>
      <c r="G21" s="6" t="s">
        <v>29</v>
      </c>
      <c r="H21" s="6" t="s">
        <v>29</v>
      </c>
      <c r="I21" s="6">
        <v>5.2</v>
      </c>
      <c r="J21" s="6">
        <v>0.8</v>
      </c>
      <c r="K21" s="6" t="s">
        <v>30</v>
      </c>
      <c r="L21" s="6" t="s">
        <v>30</v>
      </c>
      <c r="M21" s="6" t="s">
        <v>30</v>
      </c>
      <c r="N21" s="6"/>
      <c r="O21" s="6"/>
      <c r="P21" s="6" t="s">
        <v>33</v>
      </c>
      <c r="Q21" s="5"/>
      <c r="R21" s="5"/>
    </row>
    <row r="22" spans="1:18" ht="42" x14ac:dyDescent="0.2">
      <c r="A22" s="6" t="s">
        <v>74</v>
      </c>
      <c r="B22" s="6" t="s">
        <v>25</v>
      </c>
      <c r="C22" s="6">
        <v>2</v>
      </c>
      <c r="D22" s="6" t="s">
        <v>26</v>
      </c>
      <c r="E22" s="6" t="s">
        <v>34</v>
      </c>
      <c r="F22" s="6" t="s">
        <v>35</v>
      </c>
      <c r="G22" s="6" t="s">
        <v>29</v>
      </c>
      <c r="H22" s="6" t="s">
        <v>29</v>
      </c>
      <c r="I22" s="6">
        <v>12.6</v>
      </c>
      <c r="J22" s="6">
        <v>11.2</v>
      </c>
      <c r="K22" s="6" t="s">
        <v>30</v>
      </c>
      <c r="L22" s="6" t="s">
        <v>30</v>
      </c>
      <c r="M22" s="6" t="s">
        <v>30</v>
      </c>
      <c r="N22" s="6"/>
      <c r="O22" s="6"/>
      <c r="P22" s="6" t="s">
        <v>33</v>
      </c>
      <c r="Q22" s="5"/>
      <c r="R22" s="5"/>
    </row>
    <row r="23" spans="1:18" ht="42" x14ac:dyDescent="0.2">
      <c r="A23" s="6" t="s">
        <v>74</v>
      </c>
      <c r="B23" s="6" t="s">
        <v>36</v>
      </c>
      <c r="C23" s="6">
        <v>3</v>
      </c>
      <c r="D23" s="6" t="s">
        <v>26</v>
      </c>
      <c r="E23" s="6" t="s">
        <v>77</v>
      </c>
      <c r="F23" s="6" t="s">
        <v>78</v>
      </c>
      <c r="G23" s="6" t="s">
        <v>29</v>
      </c>
      <c r="H23" s="6" t="s">
        <v>29</v>
      </c>
      <c r="I23" s="6">
        <v>6.7</v>
      </c>
      <c r="J23" s="6">
        <v>11.5</v>
      </c>
      <c r="K23" s="6" t="s">
        <v>30</v>
      </c>
      <c r="L23" s="6" t="s">
        <v>30</v>
      </c>
      <c r="M23" s="6" t="s">
        <v>30</v>
      </c>
      <c r="N23" s="6"/>
      <c r="O23" s="6"/>
      <c r="P23" s="6" t="s">
        <v>33</v>
      </c>
      <c r="Q23" s="5"/>
      <c r="R23" s="5"/>
    </row>
    <row r="24" spans="1:18" x14ac:dyDescent="0.2">
      <c r="A24" s="6" t="s">
        <v>74</v>
      </c>
      <c r="B24" s="6" t="s">
        <v>36</v>
      </c>
      <c r="C24" s="6">
        <v>4</v>
      </c>
      <c r="D24" s="6" t="s">
        <v>26</v>
      </c>
      <c r="E24" s="6" t="s">
        <v>79</v>
      </c>
      <c r="F24" s="6" t="s">
        <v>80</v>
      </c>
      <c r="G24" s="6" t="s">
        <v>29</v>
      </c>
      <c r="H24" s="6" t="s">
        <v>29</v>
      </c>
      <c r="I24" s="6">
        <v>32.4</v>
      </c>
      <c r="J24" s="6">
        <v>10.4</v>
      </c>
      <c r="K24" s="6" t="s">
        <v>30</v>
      </c>
      <c r="L24" s="6" t="s">
        <v>30</v>
      </c>
      <c r="M24" s="6" t="s">
        <v>30</v>
      </c>
      <c r="N24" s="6"/>
      <c r="O24" s="6"/>
      <c r="P24" s="6" t="s">
        <v>33</v>
      </c>
      <c r="Q24" s="5"/>
      <c r="R24" s="5"/>
    </row>
    <row r="25" spans="1:18" ht="126" x14ac:dyDescent="0.2">
      <c r="A25" s="7" t="s">
        <v>74</v>
      </c>
      <c r="B25" s="7" t="s">
        <v>36</v>
      </c>
      <c r="C25" s="7">
        <v>5</v>
      </c>
      <c r="D25" s="7" t="s">
        <v>26</v>
      </c>
      <c r="E25" s="7" t="s">
        <v>81</v>
      </c>
      <c r="F25" s="7" t="s">
        <v>82</v>
      </c>
      <c r="G25" s="7" t="s">
        <v>29</v>
      </c>
      <c r="H25" s="7" t="s">
        <v>29</v>
      </c>
      <c r="I25" s="7">
        <v>23.4</v>
      </c>
      <c r="J25" s="7">
        <v>34.1</v>
      </c>
      <c r="K25" s="7" t="s">
        <v>30</v>
      </c>
      <c r="L25" s="7" t="s">
        <v>83</v>
      </c>
      <c r="M25" s="7" t="s">
        <v>30</v>
      </c>
      <c r="N25" s="7" t="s">
        <v>84</v>
      </c>
      <c r="O25" s="7" t="s">
        <v>85</v>
      </c>
      <c r="P25" s="7" t="s">
        <v>33</v>
      </c>
      <c r="Q25" s="17" t="s">
        <v>30</v>
      </c>
      <c r="R25" s="5"/>
    </row>
    <row r="26" spans="1:18" x14ac:dyDescent="0.2">
      <c r="A26" s="6" t="s">
        <v>74</v>
      </c>
      <c r="B26" s="6" t="s">
        <v>36</v>
      </c>
      <c r="C26" s="6">
        <v>6</v>
      </c>
      <c r="D26" s="6" t="s">
        <v>41</v>
      </c>
      <c r="E26" s="6" t="s">
        <v>86</v>
      </c>
      <c r="F26" s="6" t="s">
        <v>87</v>
      </c>
      <c r="G26" s="6" t="s">
        <v>44</v>
      </c>
      <c r="H26" s="6" t="s">
        <v>44</v>
      </c>
      <c r="I26" s="6">
        <v>14.7</v>
      </c>
      <c r="J26" s="6">
        <v>6.6</v>
      </c>
      <c r="K26" s="6" t="s">
        <v>30</v>
      </c>
      <c r="L26" s="6" t="s">
        <v>30</v>
      </c>
      <c r="M26" s="6" t="s">
        <v>30</v>
      </c>
      <c r="N26" s="6"/>
      <c r="O26" s="6"/>
      <c r="P26" s="6" t="s">
        <v>33</v>
      </c>
      <c r="Q26" s="5"/>
      <c r="R26" s="5"/>
    </row>
    <row r="27" spans="1:18" ht="28" x14ac:dyDescent="0.2">
      <c r="A27" s="6" t="s">
        <v>74</v>
      </c>
      <c r="B27" s="6" t="s">
        <v>36</v>
      </c>
      <c r="C27" s="6">
        <v>7</v>
      </c>
      <c r="D27" s="6" t="s">
        <v>41</v>
      </c>
      <c r="E27" s="6" t="s">
        <v>88</v>
      </c>
      <c r="F27" s="6" t="s">
        <v>89</v>
      </c>
      <c r="G27" s="6" t="s">
        <v>44</v>
      </c>
      <c r="H27" s="6" t="s">
        <v>29</v>
      </c>
      <c r="I27" s="6">
        <v>11.5</v>
      </c>
      <c r="J27" s="6">
        <v>5.2</v>
      </c>
      <c r="K27" s="6" t="s">
        <v>30</v>
      </c>
      <c r="L27" s="6" t="s">
        <v>30</v>
      </c>
      <c r="M27" s="6" t="s">
        <v>30</v>
      </c>
      <c r="N27" s="6"/>
      <c r="O27" s="6"/>
      <c r="P27" s="6" t="s">
        <v>33</v>
      </c>
      <c r="Q27" s="5"/>
      <c r="R27" s="5"/>
    </row>
    <row r="28" spans="1:18" ht="42" x14ac:dyDescent="0.2">
      <c r="A28" s="6" t="s">
        <v>74</v>
      </c>
      <c r="B28" s="6" t="s">
        <v>36</v>
      </c>
      <c r="C28" s="6">
        <v>8</v>
      </c>
      <c r="D28" s="6" t="s">
        <v>41</v>
      </c>
      <c r="E28" s="6" t="s">
        <v>90</v>
      </c>
      <c r="F28" s="6" t="s">
        <v>91</v>
      </c>
      <c r="G28" s="6" t="s">
        <v>44</v>
      </c>
      <c r="H28" s="6" t="s">
        <v>29</v>
      </c>
      <c r="I28" s="6">
        <v>12.8</v>
      </c>
      <c r="J28" s="6">
        <v>13.5</v>
      </c>
      <c r="K28" s="6" t="s">
        <v>30</v>
      </c>
      <c r="L28" s="6" t="s">
        <v>30</v>
      </c>
      <c r="M28" s="6" t="s">
        <v>30</v>
      </c>
      <c r="N28" s="6"/>
      <c r="O28" s="6"/>
      <c r="P28" s="6" t="s">
        <v>33</v>
      </c>
      <c r="Q28" s="5"/>
      <c r="R28" s="5"/>
    </row>
    <row r="29" spans="1:18" ht="28" x14ac:dyDescent="0.2">
      <c r="A29" s="6" t="s">
        <v>74</v>
      </c>
      <c r="B29" s="6" t="s">
        <v>36</v>
      </c>
      <c r="C29" s="6">
        <v>9</v>
      </c>
      <c r="D29" s="6" t="s">
        <v>41</v>
      </c>
      <c r="E29" s="6" t="s">
        <v>92</v>
      </c>
      <c r="F29" s="6" t="s">
        <v>93</v>
      </c>
      <c r="G29" s="6" t="s">
        <v>44</v>
      </c>
      <c r="H29" s="6" t="s">
        <v>29</v>
      </c>
      <c r="I29" s="6">
        <v>12.3</v>
      </c>
      <c r="J29" s="6">
        <v>9.1999999999999993</v>
      </c>
      <c r="K29" s="6" t="s">
        <v>30</v>
      </c>
      <c r="L29" s="6" t="s">
        <v>30</v>
      </c>
      <c r="M29" s="6" t="s">
        <v>30</v>
      </c>
      <c r="N29" s="6"/>
      <c r="O29" s="6"/>
      <c r="P29" s="6" t="s">
        <v>33</v>
      </c>
      <c r="Q29" s="5"/>
      <c r="R29" s="5"/>
    </row>
    <row r="30" spans="1:18" x14ac:dyDescent="0.2">
      <c r="A30" s="6" t="s">
        <v>74</v>
      </c>
      <c r="B30" s="6" t="s">
        <v>36</v>
      </c>
      <c r="C30" s="6">
        <v>10</v>
      </c>
      <c r="D30" s="6" t="s">
        <v>41</v>
      </c>
      <c r="E30" s="6" t="s">
        <v>94</v>
      </c>
      <c r="F30" s="6" t="s">
        <v>95</v>
      </c>
      <c r="G30" s="6" t="s">
        <v>29</v>
      </c>
      <c r="H30" s="6" t="s">
        <v>29</v>
      </c>
      <c r="I30" s="6">
        <v>2.9</v>
      </c>
      <c r="J30" s="6">
        <v>0.7</v>
      </c>
      <c r="K30" s="6" t="s">
        <v>30</v>
      </c>
      <c r="L30" s="6" t="s">
        <v>30</v>
      </c>
      <c r="M30" s="6" t="s">
        <v>30</v>
      </c>
      <c r="N30" s="6"/>
      <c r="O30" s="6"/>
      <c r="P30" s="6" t="s">
        <v>33</v>
      </c>
      <c r="Q30" s="5"/>
      <c r="R30" s="5"/>
    </row>
    <row r="31" spans="1:18" ht="28" x14ac:dyDescent="0.2">
      <c r="A31" s="6" t="s">
        <v>96</v>
      </c>
      <c r="B31" s="6" t="s">
        <v>25</v>
      </c>
      <c r="C31" s="6">
        <v>1</v>
      </c>
      <c r="D31" s="6" t="s">
        <v>26</v>
      </c>
      <c r="E31" s="6" t="s">
        <v>97</v>
      </c>
      <c r="F31" s="6" t="s">
        <v>98</v>
      </c>
      <c r="G31" s="6" t="s">
        <v>29</v>
      </c>
      <c r="H31" s="6" t="s">
        <v>29</v>
      </c>
      <c r="I31" s="6">
        <v>3.7</v>
      </c>
      <c r="J31" s="6">
        <v>0.6</v>
      </c>
      <c r="K31" s="6" t="s">
        <v>30</v>
      </c>
      <c r="L31" s="6" t="s">
        <v>30</v>
      </c>
      <c r="M31" s="6" t="s">
        <v>30</v>
      </c>
      <c r="N31" s="6"/>
      <c r="O31" s="6"/>
      <c r="P31" s="6" t="s">
        <v>33</v>
      </c>
      <c r="Q31" s="5"/>
      <c r="R31" s="5"/>
    </row>
    <row r="32" spans="1:18" ht="42" x14ac:dyDescent="0.2">
      <c r="A32" s="6" t="s">
        <v>96</v>
      </c>
      <c r="B32" s="6" t="s">
        <v>25</v>
      </c>
      <c r="C32" s="6">
        <v>2</v>
      </c>
      <c r="D32" s="6" t="s">
        <v>26</v>
      </c>
      <c r="E32" s="6" t="s">
        <v>34</v>
      </c>
      <c r="F32" s="6" t="s">
        <v>35</v>
      </c>
      <c r="G32" s="6" t="s">
        <v>29</v>
      </c>
      <c r="H32" s="6" t="s">
        <v>29</v>
      </c>
      <c r="I32" s="6">
        <v>12.6</v>
      </c>
      <c r="J32" s="6">
        <v>11.2</v>
      </c>
      <c r="K32" s="6" t="s">
        <v>30</v>
      </c>
      <c r="L32" s="6" t="s">
        <v>30</v>
      </c>
      <c r="M32" s="6" t="s">
        <v>30</v>
      </c>
      <c r="N32" s="6"/>
      <c r="O32" s="6"/>
      <c r="P32" s="6" t="s">
        <v>33</v>
      </c>
      <c r="Q32" s="5"/>
      <c r="R32" s="5"/>
    </row>
    <row r="33" spans="1:18" ht="28" x14ac:dyDescent="0.2">
      <c r="A33" s="6" t="s">
        <v>96</v>
      </c>
      <c r="B33" s="6" t="s">
        <v>36</v>
      </c>
      <c r="C33" s="6">
        <v>3</v>
      </c>
      <c r="D33" s="6" t="s">
        <v>26</v>
      </c>
      <c r="E33" s="6" t="s">
        <v>99</v>
      </c>
      <c r="F33" s="6" t="s">
        <v>100</v>
      </c>
      <c r="G33" s="6" t="s">
        <v>29</v>
      </c>
      <c r="H33" s="6" t="s">
        <v>29</v>
      </c>
      <c r="I33" s="6">
        <v>11.2</v>
      </c>
      <c r="J33" s="6">
        <v>4.4000000000000004</v>
      </c>
      <c r="K33" s="6" t="s">
        <v>30</v>
      </c>
      <c r="L33" s="6" t="s">
        <v>30</v>
      </c>
      <c r="M33" s="6" t="s">
        <v>30</v>
      </c>
      <c r="N33" s="6"/>
      <c r="O33" s="6"/>
      <c r="P33" s="6" t="s">
        <v>33</v>
      </c>
      <c r="Q33" s="5"/>
      <c r="R33" s="5"/>
    </row>
    <row r="34" spans="1:18" ht="42" x14ac:dyDescent="0.2">
      <c r="A34" s="4" t="s">
        <v>96</v>
      </c>
      <c r="B34" s="4" t="s">
        <v>36</v>
      </c>
      <c r="C34" s="4">
        <v>4</v>
      </c>
      <c r="D34" s="4" t="s">
        <v>26</v>
      </c>
      <c r="E34" s="4" t="s">
        <v>101</v>
      </c>
      <c r="F34" s="4" t="s">
        <v>102</v>
      </c>
      <c r="G34" s="4" t="s">
        <v>29</v>
      </c>
      <c r="H34" s="4" t="s">
        <v>29</v>
      </c>
      <c r="I34" s="4">
        <v>13.5</v>
      </c>
      <c r="J34" s="4">
        <v>6.3</v>
      </c>
      <c r="K34" s="4" t="s">
        <v>30</v>
      </c>
      <c r="L34" s="4" t="s">
        <v>30</v>
      </c>
      <c r="M34" s="4" t="s">
        <v>30</v>
      </c>
      <c r="N34" s="4" t="s">
        <v>103</v>
      </c>
      <c r="O34" s="4" t="s">
        <v>32</v>
      </c>
      <c r="P34" s="4" t="s">
        <v>33</v>
      </c>
      <c r="Q34" s="17" t="s">
        <v>30</v>
      </c>
      <c r="R34" s="5"/>
    </row>
    <row r="35" spans="1:18" ht="28" x14ac:dyDescent="0.2">
      <c r="A35" s="4" t="s">
        <v>96</v>
      </c>
      <c r="B35" s="4" t="s">
        <v>36</v>
      </c>
      <c r="C35" s="4">
        <v>5</v>
      </c>
      <c r="D35" s="4" t="s">
        <v>26</v>
      </c>
      <c r="E35" s="4" t="s">
        <v>101</v>
      </c>
      <c r="F35" s="4" t="s">
        <v>104</v>
      </c>
      <c r="G35" s="4" t="s">
        <v>29</v>
      </c>
      <c r="H35" s="4" t="s">
        <v>29</v>
      </c>
      <c r="I35" s="4">
        <v>13.5</v>
      </c>
      <c r="J35" s="4">
        <v>3.7</v>
      </c>
      <c r="K35" s="4" t="s">
        <v>30</v>
      </c>
      <c r="L35" s="4" t="s">
        <v>30</v>
      </c>
      <c r="M35" s="4" t="s">
        <v>30</v>
      </c>
      <c r="N35" s="4" t="s">
        <v>105</v>
      </c>
      <c r="O35" s="4" t="s">
        <v>32</v>
      </c>
      <c r="P35" s="4" t="s">
        <v>33</v>
      </c>
      <c r="Q35" s="17" t="s">
        <v>30</v>
      </c>
      <c r="R35" s="5"/>
    </row>
    <row r="36" spans="1:18" x14ac:dyDescent="0.2">
      <c r="A36" s="6" t="s">
        <v>96</v>
      </c>
      <c r="B36" s="6" t="s">
        <v>36</v>
      </c>
      <c r="C36" s="6">
        <v>6</v>
      </c>
      <c r="D36" s="6" t="s">
        <v>26</v>
      </c>
      <c r="E36" s="6" t="s">
        <v>106</v>
      </c>
      <c r="F36" s="6" t="s">
        <v>107</v>
      </c>
      <c r="G36" s="6" t="s">
        <v>29</v>
      </c>
      <c r="H36" s="6" t="s">
        <v>29</v>
      </c>
      <c r="I36" s="6">
        <v>3.7</v>
      </c>
      <c r="J36" s="6">
        <v>2.5</v>
      </c>
      <c r="K36" s="6" t="s">
        <v>30</v>
      </c>
      <c r="L36" s="6" t="s">
        <v>30</v>
      </c>
      <c r="M36" s="6" t="s">
        <v>30</v>
      </c>
      <c r="N36" s="6"/>
      <c r="O36" s="6"/>
      <c r="P36" s="6" t="s">
        <v>33</v>
      </c>
      <c r="Q36" s="5"/>
      <c r="R36" s="5"/>
    </row>
    <row r="37" spans="1:18" ht="42" x14ac:dyDescent="0.2">
      <c r="A37" s="6" t="s">
        <v>96</v>
      </c>
      <c r="B37" s="6" t="s">
        <v>36</v>
      </c>
      <c r="C37" s="6">
        <v>7</v>
      </c>
      <c r="D37" s="6" t="s">
        <v>41</v>
      </c>
      <c r="E37" s="6" t="s">
        <v>108</v>
      </c>
      <c r="F37" s="6" t="s">
        <v>109</v>
      </c>
      <c r="G37" s="6" t="s">
        <v>44</v>
      </c>
      <c r="H37" s="6" t="s">
        <v>29</v>
      </c>
      <c r="I37" s="6">
        <v>14.1</v>
      </c>
      <c r="J37" s="6">
        <v>12.9</v>
      </c>
      <c r="K37" s="6" t="s">
        <v>30</v>
      </c>
      <c r="L37" s="6" t="s">
        <v>30</v>
      </c>
      <c r="M37" s="6" t="s">
        <v>30</v>
      </c>
      <c r="N37" s="6"/>
      <c r="O37" s="6"/>
      <c r="P37" s="6" t="s">
        <v>33</v>
      </c>
      <c r="Q37" s="5"/>
      <c r="R37" s="5"/>
    </row>
    <row r="38" spans="1:18" ht="28" x14ac:dyDescent="0.2">
      <c r="A38" s="6" t="s">
        <v>96</v>
      </c>
      <c r="B38" s="6" t="s">
        <v>36</v>
      </c>
      <c r="C38" s="6">
        <v>8</v>
      </c>
      <c r="D38" s="6" t="s">
        <v>41</v>
      </c>
      <c r="E38" s="6" t="s">
        <v>110</v>
      </c>
      <c r="F38" s="6" t="s">
        <v>111</v>
      </c>
      <c r="G38" s="6" t="s">
        <v>44</v>
      </c>
      <c r="H38" s="6" t="s">
        <v>44</v>
      </c>
      <c r="I38" s="6">
        <v>17.7</v>
      </c>
      <c r="J38" s="6">
        <v>1.3</v>
      </c>
      <c r="K38" s="6" t="s">
        <v>30</v>
      </c>
      <c r="L38" s="6" t="s">
        <v>30</v>
      </c>
      <c r="M38" s="6" t="s">
        <v>30</v>
      </c>
      <c r="N38" s="6"/>
      <c r="O38" s="6"/>
      <c r="P38" s="6" t="s">
        <v>33</v>
      </c>
      <c r="Q38" s="5"/>
      <c r="R38" s="5"/>
    </row>
    <row r="39" spans="1:18" ht="28" x14ac:dyDescent="0.2">
      <c r="A39" s="6" t="s">
        <v>96</v>
      </c>
      <c r="B39" s="6" t="s">
        <v>36</v>
      </c>
      <c r="C39" s="6">
        <v>9</v>
      </c>
      <c r="D39" s="6" t="s">
        <v>41</v>
      </c>
      <c r="E39" s="6" t="s">
        <v>112</v>
      </c>
      <c r="F39" s="6" t="s">
        <v>113</v>
      </c>
      <c r="G39" s="6" t="s">
        <v>44</v>
      </c>
      <c r="H39" s="6" t="s">
        <v>44</v>
      </c>
      <c r="I39" s="6">
        <v>10.199999999999999</v>
      </c>
      <c r="J39" s="6">
        <v>9.1999999999999993</v>
      </c>
      <c r="K39" s="6" t="s">
        <v>30</v>
      </c>
      <c r="L39" s="6" t="s">
        <v>30</v>
      </c>
      <c r="M39" s="6" t="s">
        <v>30</v>
      </c>
      <c r="N39" s="6"/>
      <c r="O39" s="6"/>
      <c r="P39" s="6" t="s">
        <v>33</v>
      </c>
      <c r="Q39" s="5"/>
      <c r="R39" s="5"/>
    </row>
    <row r="40" spans="1:18" ht="28" x14ac:dyDescent="0.2">
      <c r="A40" s="6" t="s">
        <v>114</v>
      </c>
      <c r="B40" s="6" t="s">
        <v>25</v>
      </c>
      <c r="C40" s="6">
        <v>1</v>
      </c>
      <c r="D40" s="6" t="s">
        <v>26</v>
      </c>
      <c r="E40" s="6" t="s">
        <v>97</v>
      </c>
      <c r="F40" s="6" t="s">
        <v>98</v>
      </c>
      <c r="G40" s="6" t="s">
        <v>29</v>
      </c>
      <c r="H40" s="6" t="s">
        <v>29</v>
      </c>
      <c r="I40" s="6">
        <v>3.7</v>
      </c>
      <c r="J40" s="6">
        <v>0.6</v>
      </c>
      <c r="K40" s="6" t="s">
        <v>30</v>
      </c>
      <c r="L40" s="6" t="s">
        <v>30</v>
      </c>
      <c r="M40" s="6" t="s">
        <v>30</v>
      </c>
      <c r="N40" s="6"/>
      <c r="O40" s="6"/>
      <c r="P40" s="6" t="s">
        <v>33</v>
      </c>
      <c r="Q40" s="5"/>
      <c r="R40" s="5"/>
    </row>
    <row r="41" spans="1:18" ht="42" x14ac:dyDescent="0.2">
      <c r="A41" s="6" t="s">
        <v>114</v>
      </c>
      <c r="B41" s="6" t="s">
        <v>25</v>
      </c>
      <c r="C41" s="6">
        <v>2</v>
      </c>
      <c r="D41" s="6" t="s">
        <v>26</v>
      </c>
      <c r="E41" s="6" t="s">
        <v>115</v>
      </c>
      <c r="F41" s="6" t="s">
        <v>35</v>
      </c>
      <c r="G41" s="6" t="s">
        <v>29</v>
      </c>
      <c r="H41" s="6" t="s">
        <v>29</v>
      </c>
      <c r="I41" s="6">
        <v>15</v>
      </c>
      <c r="J41" s="6">
        <v>11.2</v>
      </c>
      <c r="K41" s="6" t="s">
        <v>30</v>
      </c>
      <c r="L41" s="6" t="s">
        <v>30</v>
      </c>
      <c r="M41" s="6" t="s">
        <v>30</v>
      </c>
      <c r="N41" s="6"/>
      <c r="O41" s="6"/>
      <c r="P41" s="6" t="s">
        <v>33</v>
      </c>
      <c r="Q41" s="5"/>
      <c r="R41" s="5"/>
    </row>
    <row r="42" spans="1:18" ht="28" x14ac:dyDescent="0.2">
      <c r="A42" s="6" t="s">
        <v>114</v>
      </c>
      <c r="B42" s="6" t="s">
        <v>36</v>
      </c>
      <c r="C42" s="6">
        <v>3</v>
      </c>
      <c r="D42" s="6" t="s">
        <v>26</v>
      </c>
      <c r="E42" s="6" t="s">
        <v>116</v>
      </c>
      <c r="F42" s="6" t="s">
        <v>117</v>
      </c>
      <c r="G42" s="6" t="s">
        <v>29</v>
      </c>
      <c r="H42" s="6" t="s">
        <v>29</v>
      </c>
      <c r="I42" s="6">
        <v>9.3000000000000007</v>
      </c>
      <c r="J42" s="6">
        <v>7.6</v>
      </c>
      <c r="K42" s="6" t="s">
        <v>30</v>
      </c>
      <c r="L42" s="6" t="s">
        <v>30</v>
      </c>
      <c r="M42" s="6" t="s">
        <v>30</v>
      </c>
      <c r="N42" s="6"/>
      <c r="O42" s="6"/>
      <c r="P42" s="6" t="s">
        <v>33</v>
      </c>
      <c r="Q42" s="5"/>
      <c r="R42" s="5"/>
    </row>
    <row r="43" spans="1:18" ht="28" x14ac:dyDescent="0.2">
      <c r="A43" s="6" t="s">
        <v>114</v>
      </c>
      <c r="B43" s="6" t="s">
        <v>36</v>
      </c>
      <c r="C43" s="6">
        <v>4</v>
      </c>
      <c r="D43" s="6" t="s">
        <v>26</v>
      </c>
      <c r="E43" s="6" t="s">
        <v>118</v>
      </c>
      <c r="F43" s="6" t="s">
        <v>119</v>
      </c>
      <c r="G43" s="6" t="s">
        <v>29</v>
      </c>
      <c r="H43" s="6" t="s">
        <v>29</v>
      </c>
      <c r="I43" s="6">
        <v>9.1999999999999993</v>
      </c>
      <c r="J43" s="6">
        <v>3.9</v>
      </c>
      <c r="K43" s="6" t="s">
        <v>30</v>
      </c>
      <c r="L43" s="6" t="s">
        <v>30</v>
      </c>
      <c r="M43" s="6" t="s">
        <v>30</v>
      </c>
      <c r="N43" s="6"/>
      <c r="O43" s="6"/>
      <c r="P43" s="6" t="s">
        <v>33</v>
      </c>
      <c r="Q43" s="5"/>
      <c r="R43" s="5"/>
    </row>
    <row r="44" spans="1:18" ht="28" x14ac:dyDescent="0.2">
      <c r="A44" s="6" t="s">
        <v>114</v>
      </c>
      <c r="B44" s="6" t="s">
        <v>36</v>
      </c>
      <c r="C44" s="6">
        <v>5</v>
      </c>
      <c r="D44" s="6" t="s">
        <v>26</v>
      </c>
      <c r="E44" s="6" t="s">
        <v>120</v>
      </c>
      <c r="F44" s="6" t="s">
        <v>121</v>
      </c>
      <c r="G44" s="6" t="s">
        <v>29</v>
      </c>
      <c r="H44" s="6" t="s">
        <v>29</v>
      </c>
      <c r="I44" s="6">
        <v>5</v>
      </c>
      <c r="J44" s="6">
        <v>6.5</v>
      </c>
      <c r="K44" s="6" t="s">
        <v>30</v>
      </c>
      <c r="L44" s="6" t="s">
        <v>30</v>
      </c>
      <c r="M44" s="6" t="s">
        <v>30</v>
      </c>
      <c r="N44" s="6"/>
      <c r="O44" s="6"/>
      <c r="P44" s="6" t="s">
        <v>33</v>
      </c>
      <c r="Q44" s="5"/>
      <c r="R44" s="5"/>
    </row>
    <row r="45" spans="1:18" ht="28" x14ac:dyDescent="0.2">
      <c r="A45" s="6" t="s">
        <v>114</v>
      </c>
      <c r="B45" s="6" t="s">
        <v>36</v>
      </c>
      <c r="C45" s="6">
        <v>6</v>
      </c>
      <c r="D45" s="6" t="s">
        <v>26</v>
      </c>
      <c r="E45" s="6" t="s">
        <v>122</v>
      </c>
      <c r="F45" s="6" t="s">
        <v>123</v>
      </c>
      <c r="G45" s="6" t="s">
        <v>29</v>
      </c>
      <c r="H45" s="6" t="s">
        <v>29</v>
      </c>
      <c r="I45" s="6">
        <v>11.7</v>
      </c>
      <c r="J45" s="6">
        <v>4.7</v>
      </c>
      <c r="K45" s="6" t="s">
        <v>30</v>
      </c>
      <c r="L45" s="6" t="s">
        <v>30</v>
      </c>
      <c r="M45" s="6" t="s">
        <v>30</v>
      </c>
      <c r="N45" s="6"/>
      <c r="O45" s="6"/>
      <c r="P45" s="6" t="s">
        <v>33</v>
      </c>
      <c r="Q45" s="5"/>
      <c r="R45" s="5"/>
    </row>
    <row r="46" spans="1:18" ht="70" x14ac:dyDescent="0.2">
      <c r="A46" s="6" t="s">
        <v>114</v>
      </c>
      <c r="B46" s="6" t="s">
        <v>36</v>
      </c>
      <c r="C46" s="6">
        <v>7</v>
      </c>
      <c r="D46" s="6" t="s">
        <v>41</v>
      </c>
      <c r="E46" s="6" t="s">
        <v>124</v>
      </c>
      <c r="F46" s="6" t="s">
        <v>125</v>
      </c>
      <c r="G46" s="6" t="s">
        <v>44</v>
      </c>
      <c r="H46" s="6" t="s">
        <v>29</v>
      </c>
      <c r="I46" s="6">
        <v>19.5</v>
      </c>
      <c r="J46" s="6">
        <v>21.1</v>
      </c>
      <c r="K46" s="6" t="s">
        <v>30</v>
      </c>
      <c r="L46" s="6" t="s">
        <v>30</v>
      </c>
      <c r="M46" s="6" t="s">
        <v>30</v>
      </c>
      <c r="N46" s="6"/>
      <c r="O46" s="6"/>
      <c r="P46" s="6" t="s">
        <v>33</v>
      </c>
      <c r="Q46" s="5"/>
      <c r="R46" s="5"/>
    </row>
    <row r="47" spans="1:18" ht="56" x14ac:dyDescent="0.2">
      <c r="A47" s="6" t="s">
        <v>114</v>
      </c>
      <c r="B47" s="6" t="s">
        <v>36</v>
      </c>
      <c r="C47" s="6">
        <v>8</v>
      </c>
      <c r="D47" s="6" t="s">
        <v>41</v>
      </c>
      <c r="E47" s="6" t="s">
        <v>126</v>
      </c>
      <c r="F47" s="6" t="s">
        <v>127</v>
      </c>
      <c r="G47" s="6" t="s">
        <v>44</v>
      </c>
      <c r="H47" s="6" t="s">
        <v>29</v>
      </c>
      <c r="I47" s="6">
        <v>18.899999999999999</v>
      </c>
      <c r="J47" s="6">
        <v>16.2</v>
      </c>
      <c r="K47" s="6" t="s">
        <v>30</v>
      </c>
      <c r="L47" s="6" t="s">
        <v>30</v>
      </c>
      <c r="M47" s="6" t="s">
        <v>30</v>
      </c>
      <c r="N47" s="6"/>
      <c r="O47" s="6"/>
      <c r="P47" s="6" t="s">
        <v>33</v>
      </c>
      <c r="Q47" s="5"/>
      <c r="R47" s="5"/>
    </row>
    <row r="48" spans="1:18" ht="28" x14ac:dyDescent="0.2">
      <c r="A48" s="6" t="s">
        <v>114</v>
      </c>
      <c r="B48" s="6" t="s">
        <v>36</v>
      </c>
      <c r="C48" s="6">
        <v>9</v>
      </c>
      <c r="D48" s="6" t="s">
        <v>41</v>
      </c>
      <c r="E48" s="6" t="s">
        <v>128</v>
      </c>
      <c r="F48" s="6" t="s">
        <v>129</v>
      </c>
      <c r="G48" s="6" t="s">
        <v>44</v>
      </c>
      <c r="H48" s="6" t="s">
        <v>29</v>
      </c>
      <c r="I48" s="6">
        <v>12.3</v>
      </c>
      <c r="J48" s="6">
        <v>11.2</v>
      </c>
      <c r="K48" s="6" t="s">
        <v>30</v>
      </c>
      <c r="L48" s="6" t="s">
        <v>30</v>
      </c>
      <c r="M48" s="6" t="s">
        <v>30</v>
      </c>
      <c r="N48" s="6"/>
      <c r="O48" s="6"/>
      <c r="P48" s="6" t="s">
        <v>33</v>
      </c>
      <c r="Q48" s="5"/>
      <c r="R48" s="5"/>
    </row>
    <row r="49" spans="1:18" ht="56" x14ac:dyDescent="0.2">
      <c r="A49" s="6" t="s">
        <v>114</v>
      </c>
      <c r="B49" s="6" t="s">
        <v>36</v>
      </c>
      <c r="C49" s="6">
        <v>10</v>
      </c>
      <c r="D49" s="6" t="s">
        <v>41</v>
      </c>
      <c r="E49" s="6" t="s">
        <v>130</v>
      </c>
      <c r="F49" s="6" t="s">
        <v>131</v>
      </c>
      <c r="G49" s="6" t="s">
        <v>44</v>
      </c>
      <c r="H49" s="6" t="s">
        <v>29</v>
      </c>
      <c r="I49" s="6">
        <v>15.6</v>
      </c>
      <c r="J49" s="6">
        <v>17.100000000000001</v>
      </c>
      <c r="K49" s="6" t="s">
        <v>30</v>
      </c>
      <c r="L49" s="6" t="s">
        <v>30</v>
      </c>
      <c r="M49" s="6" t="s">
        <v>30</v>
      </c>
      <c r="N49" s="6"/>
      <c r="O49" s="6"/>
      <c r="P49" s="6" t="s">
        <v>33</v>
      </c>
      <c r="Q49" s="5"/>
      <c r="R49" s="5"/>
    </row>
    <row r="50" spans="1:18" ht="42" x14ac:dyDescent="0.2">
      <c r="A50" s="4" t="s">
        <v>132</v>
      </c>
      <c r="B50" s="4" t="s">
        <v>25</v>
      </c>
      <c r="C50" s="4">
        <v>1</v>
      </c>
      <c r="D50" s="4" t="s">
        <v>26</v>
      </c>
      <c r="E50" s="4" t="s">
        <v>97</v>
      </c>
      <c r="F50" s="4" t="s">
        <v>98</v>
      </c>
      <c r="G50" s="4" t="s">
        <v>29</v>
      </c>
      <c r="H50" s="4" t="s">
        <v>29</v>
      </c>
      <c r="I50" s="4">
        <v>3.7</v>
      </c>
      <c r="J50" s="4">
        <v>0.6</v>
      </c>
      <c r="K50" s="4" t="s">
        <v>30</v>
      </c>
      <c r="L50" s="4" t="s">
        <v>30</v>
      </c>
      <c r="M50" s="4" t="s">
        <v>30</v>
      </c>
      <c r="N50" s="4" t="s">
        <v>133</v>
      </c>
      <c r="O50" s="4" t="s">
        <v>32</v>
      </c>
      <c r="P50" s="4" t="s">
        <v>33</v>
      </c>
      <c r="Q50" s="17" t="s">
        <v>30</v>
      </c>
      <c r="R50" s="5"/>
    </row>
    <row r="51" spans="1:18" ht="42" x14ac:dyDescent="0.2">
      <c r="A51" s="6" t="s">
        <v>132</v>
      </c>
      <c r="B51" s="6" t="s">
        <v>25</v>
      </c>
      <c r="C51" s="6">
        <v>2</v>
      </c>
      <c r="D51" s="6" t="s">
        <v>26</v>
      </c>
      <c r="E51" s="6" t="s">
        <v>134</v>
      </c>
      <c r="F51" s="6" t="s">
        <v>35</v>
      </c>
      <c r="G51" s="6" t="s">
        <v>29</v>
      </c>
      <c r="H51" s="6" t="s">
        <v>29</v>
      </c>
      <c r="I51" s="6">
        <v>13.7</v>
      </c>
      <c r="J51" s="6">
        <v>11.2</v>
      </c>
      <c r="K51" s="6" t="s">
        <v>30</v>
      </c>
      <c r="L51" s="6" t="s">
        <v>30</v>
      </c>
      <c r="M51" s="6" t="s">
        <v>30</v>
      </c>
      <c r="N51" s="6"/>
      <c r="O51" s="6"/>
      <c r="P51" s="6" t="s">
        <v>33</v>
      </c>
      <c r="Q51" s="5"/>
      <c r="R51" s="5"/>
    </row>
    <row r="52" spans="1:18" ht="42" x14ac:dyDescent="0.2">
      <c r="A52" s="6" t="s">
        <v>132</v>
      </c>
      <c r="B52" s="6" t="s">
        <v>36</v>
      </c>
      <c r="C52" s="6">
        <v>3</v>
      </c>
      <c r="D52" s="6" t="s">
        <v>26</v>
      </c>
      <c r="E52" s="6" t="s">
        <v>135</v>
      </c>
      <c r="F52" s="6" t="s">
        <v>136</v>
      </c>
      <c r="G52" s="6" t="s">
        <v>29</v>
      </c>
      <c r="H52" s="6" t="s">
        <v>29</v>
      </c>
      <c r="I52" s="6">
        <v>4.9000000000000004</v>
      </c>
      <c r="J52" s="6">
        <v>4.5</v>
      </c>
      <c r="K52" s="6" t="s">
        <v>30</v>
      </c>
      <c r="L52" s="6" t="s">
        <v>30</v>
      </c>
      <c r="M52" s="6" t="s">
        <v>30</v>
      </c>
      <c r="N52" s="6"/>
      <c r="O52" s="6"/>
      <c r="P52" s="6" t="s">
        <v>33</v>
      </c>
      <c r="Q52" s="5"/>
      <c r="R52" s="5"/>
    </row>
    <row r="53" spans="1:18" ht="70" x14ac:dyDescent="0.2">
      <c r="A53" s="6" t="s">
        <v>132</v>
      </c>
      <c r="B53" s="6" t="s">
        <v>36</v>
      </c>
      <c r="C53" s="6">
        <v>4</v>
      </c>
      <c r="D53" s="6" t="s">
        <v>41</v>
      </c>
      <c r="E53" s="6" t="s">
        <v>137</v>
      </c>
      <c r="F53" s="6" t="s">
        <v>138</v>
      </c>
      <c r="G53" s="6" t="s">
        <v>44</v>
      </c>
      <c r="H53" s="6" t="s">
        <v>29</v>
      </c>
      <c r="I53" s="6">
        <v>21.6</v>
      </c>
      <c r="J53" s="6">
        <v>17.8</v>
      </c>
      <c r="K53" s="6" t="s">
        <v>30</v>
      </c>
      <c r="L53" s="6" t="s">
        <v>30</v>
      </c>
      <c r="M53" s="6" t="s">
        <v>30</v>
      </c>
      <c r="N53" s="6"/>
      <c r="O53" s="6"/>
      <c r="P53" s="6" t="s">
        <v>33</v>
      </c>
      <c r="Q53" s="5"/>
      <c r="R53" s="5"/>
    </row>
    <row r="54" spans="1:18" ht="70" x14ac:dyDescent="0.2">
      <c r="A54" s="6" t="s">
        <v>132</v>
      </c>
      <c r="B54" s="6" t="s">
        <v>36</v>
      </c>
      <c r="C54" s="6">
        <v>5</v>
      </c>
      <c r="D54" s="6" t="s">
        <v>41</v>
      </c>
      <c r="E54" s="6" t="s">
        <v>139</v>
      </c>
      <c r="F54" s="6" t="s">
        <v>140</v>
      </c>
      <c r="G54" s="6" t="s">
        <v>44</v>
      </c>
      <c r="H54" s="6" t="s">
        <v>29</v>
      </c>
      <c r="I54" s="6">
        <v>21.2</v>
      </c>
      <c r="J54" s="6">
        <v>17.5</v>
      </c>
      <c r="K54" s="6" t="s">
        <v>30</v>
      </c>
      <c r="L54" s="6" t="s">
        <v>30</v>
      </c>
      <c r="M54" s="6" t="s">
        <v>30</v>
      </c>
      <c r="N54" s="6"/>
      <c r="O54" s="6"/>
      <c r="P54" s="6" t="s">
        <v>33</v>
      </c>
      <c r="Q54" s="5"/>
      <c r="R54" s="5"/>
    </row>
    <row r="55" spans="1:18" x14ac:dyDescent="0.2">
      <c r="A55" s="6" t="s">
        <v>132</v>
      </c>
      <c r="B55" s="6" t="s">
        <v>36</v>
      </c>
      <c r="C55" s="6">
        <v>6</v>
      </c>
      <c r="D55" s="6" t="s">
        <v>41</v>
      </c>
      <c r="E55" s="6" t="s">
        <v>141</v>
      </c>
      <c r="F55" s="6" t="s">
        <v>142</v>
      </c>
      <c r="G55" s="6" t="s">
        <v>44</v>
      </c>
      <c r="H55" s="6" t="s">
        <v>29</v>
      </c>
      <c r="I55" s="6">
        <v>2.5</v>
      </c>
      <c r="J55" s="6">
        <v>1.3</v>
      </c>
      <c r="K55" s="6" t="s">
        <v>30</v>
      </c>
      <c r="L55" s="6" t="s">
        <v>30</v>
      </c>
      <c r="M55" s="6" t="s">
        <v>30</v>
      </c>
      <c r="N55" s="6"/>
      <c r="O55" s="6"/>
      <c r="P55" s="6" t="s">
        <v>33</v>
      </c>
      <c r="Q55" s="5"/>
      <c r="R55" s="5"/>
    </row>
    <row r="56" spans="1:18" ht="28" x14ac:dyDescent="0.2">
      <c r="A56" s="6" t="s">
        <v>132</v>
      </c>
      <c r="B56" s="6" t="s">
        <v>36</v>
      </c>
      <c r="C56" s="6">
        <v>7</v>
      </c>
      <c r="D56" s="6" t="s">
        <v>41</v>
      </c>
      <c r="E56" s="6" t="s">
        <v>143</v>
      </c>
      <c r="F56" s="6" t="s">
        <v>144</v>
      </c>
      <c r="G56" s="6" t="s">
        <v>44</v>
      </c>
      <c r="H56" s="6" t="s">
        <v>44</v>
      </c>
      <c r="I56" s="6">
        <v>14.3</v>
      </c>
      <c r="J56" s="6">
        <v>5.8</v>
      </c>
      <c r="K56" s="6" t="s">
        <v>30</v>
      </c>
      <c r="L56" s="6" t="s">
        <v>30</v>
      </c>
      <c r="M56" s="6" t="s">
        <v>30</v>
      </c>
      <c r="N56" s="6"/>
      <c r="O56" s="6"/>
      <c r="P56" s="6" t="s">
        <v>33</v>
      </c>
      <c r="Q56" s="5"/>
      <c r="R56" s="5"/>
    </row>
    <row r="57" spans="1:18" ht="28" x14ac:dyDescent="0.2">
      <c r="A57" s="6" t="s">
        <v>132</v>
      </c>
      <c r="B57" s="6" t="s">
        <v>36</v>
      </c>
      <c r="C57" s="6">
        <v>8</v>
      </c>
      <c r="D57" s="6" t="s">
        <v>41</v>
      </c>
      <c r="E57" s="6" t="s">
        <v>145</v>
      </c>
      <c r="F57" s="6" t="s">
        <v>146</v>
      </c>
      <c r="G57" s="6" t="s">
        <v>44</v>
      </c>
      <c r="H57" s="6" t="s">
        <v>44</v>
      </c>
      <c r="I57" s="6">
        <v>14.7</v>
      </c>
      <c r="J57" s="6">
        <v>15</v>
      </c>
      <c r="K57" s="6" t="s">
        <v>30</v>
      </c>
      <c r="L57" s="6" t="s">
        <v>30</v>
      </c>
      <c r="M57" s="6" t="s">
        <v>30</v>
      </c>
      <c r="N57" s="6"/>
      <c r="O57" s="6"/>
      <c r="P57" s="6" t="s">
        <v>33</v>
      </c>
      <c r="Q57" s="5"/>
      <c r="R57" s="5"/>
    </row>
    <row r="58" spans="1:18" ht="42" x14ac:dyDescent="0.2">
      <c r="A58" s="6" t="s">
        <v>132</v>
      </c>
      <c r="B58" s="6" t="s">
        <v>36</v>
      </c>
      <c r="C58" s="6">
        <v>9</v>
      </c>
      <c r="D58" s="6" t="s">
        <v>26</v>
      </c>
      <c r="E58" s="6" t="s">
        <v>147</v>
      </c>
      <c r="F58" s="6" t="s">
        <v>148</v>
      </c>
      <c r="G58" s="6" t="s">
        <v>29</v>
      </c>
      <c r="H58" s="6" t="s">
        <v>29</v>
      </c>
      <c r="I58" s="6">
        <v>12.3</v>
      </c>
      <c r="J58" s="6">
        <v>11.8</v>
      </c>
      <c r="K58" s="6" t="s">
        <v>30</v>
      </c>
      <c r="L58" s="6" t="s">
        <v>30</v>
      </c>
      <c r="M58" s="6" t="s">
        <v>30</v>
      </c>
      <c r="N58" s="6"/>
      <c r="O58" s="6"/>
      <c r="P58" s="6" t="s">
        <v>33</v>
      </c>
      <c r="Q58" s="5"/>
      <c r="R58" s="5"/>
    </row>
    <row r="59" spans="1:18" ht="28" x14ac:dyDescent="0.2">
      <c r="A59" s="6" t="s">
        <v>132</v>
      </c>
      <c r="B59" s="6" t="s">
        <v>36</v>
      </c>
      <c r="C59" s="6">
        <v>10</v>
      </c>
      <c r="D59" s="6" t="s">
        <v>41</v>
      </c>
      <c r="E59" s="6" t="s">
        <v>149</v>
      </c>
      <c r="F59" s="6" t="s">
        <v>150</v>
      </c>
      <c r="G59" s="6" t="s">
        <v>44</v>
      </c>
      <c r="H59" s="6" t="s">
        <v>29</v>
      </c>
      <c r="I59" s="6">
        <v>11.2</v>
      </c>
      <c r="J59" s="6">
        <v>6.8</v>
      </c>
      <c r="K59" s="6" t="s">
        <v>30</v>
      </c>
      <c r="L59" s="6" t="s">
        <v>30</v>
      </c>
      <c r="M59" s="6" t="s">
        <v>30</v>
      </c>
      <c r="N59" s="6"/>
      <c r="O59" s="6"/>
      <c r="P59" s="6" t="s">
        <v>33</v>
      </c>
      <c r="Q59" s="5"/>
      <c r="R59" s="5"/>
    </row>
    <row r="60" spans="1:18" ht="28" x14ac:dyDescent="0.2">
      <c r="A60" s="6" t="s">
        <v>151</v>
      </c>
      <c r="B60" s="6" t="s">
        <v>25</v>
      </c>
      <c r="C60" s="6">
        <v>1</v>
      </c>
      <c r="D60" s="6" t="s">
        <v>26</v>
      </c>
      <c r="E60" s="6" t="s">
        <v>152</v>
      </c>
      <c r="F60" s="6" t="s">
        <v>153</v>
      </c>
      <c r="G60" s="6" t="s">
        <v>29</v>
      </c>
      <c r="H60" s="6" t="s">
        <v>29</v>
      </c>
      <c r="I60" s="6">
        <v>5.2</v>
      </c>
      <c r="J60" s="6">
        <v>0.8</v>
      </c>
      <c r="K60" s="6" t="s">
        <v>30</v>
      </c>
      <c r="L60" s="6" t="s">
        <v>30</v>
      </c>
      <c r="M60" s="6" t="s">
        <v>30</v>
      </c>
      <c r="N60" s="6"/>
      <c r="O60" s="6"/>
      <c r="P60" s="6" t="s">
        <v>33</v>
      </c>
      <c r="Q60" s="5"/>
      <c r="R60" s="5"/>
    </row>
    <row r="61" spans="1:18" ht="42" x14ac:dyDescent="0.2">
      <c r="A61" s="6" t="s">
        <v>151</v>
      </c>
      <c r="B61" s="6" t="s">
        <v>36</v>
      </c>
      <c r="C61" s="6">
        <v>2</v>
      </c>
      <c r="D61" s="6" t="s">
        <v>26</v>
      </c>
      <c r="E61" s="6" t="s">
        <v>154</v>
      </c>
      <c r="F61" s="6" t="s">
        <v>155</v>
      </c>
      <c r="G61" s="6" t="s">
        <v>44</v>
      </c>
      <c r="H61" s="6" t="s">
        <v>29</v>
      </c>
      <c r="I61" s="6">
        <v>8.4</v>
      </c>
      <c r="J61" s="6">
        <v>13.9</v>
      </c>
      <c r="K61" s="6" t="s">
        <v>30</v>
      </c>
      <c r="L61" s="6" t="s">
        <v>30</v>
      </c>
      <c r="M61" s="6" t="s">
        <v>30</v>
      </c>
      <c r="N61" s="6"/>
      <c r="O61" s="6"/>
      <c r="P61" s="6" t="s">
        <v>33</v>
      </c>
      <c r="Q61" s="5"/>
      <c r="R61" s="5"/>
    </row>
    <row r="62" spans="1:18" ht="28" x14ac:dyDescent="0.2">
      <c r="A62" s="6" t="s">
        <v>151</v>
      </c>
      <c r="B62" s="6" t="s">
        <v>36</v>
      </c>
      <c r="C62" s="6">
        <v>3</v>
      </c>
      <c r="D62" s="6" t="s">
        <v>41</v>
      </c>
      <c r="E62" s="6" t="s">
        <v>156</v>
      </c>
      <c r="F62" s="6" t="s">
        <v>157</v>
      </c>
      <c r="G62" s="6" t="s">
        <v>44</v>
      </c>
      <c r="H62" s="6" t="s">
        <v>29</v>
      </c>
      <c r="I62" s="6">
        <v>17.8</v>
      </c>
      <c r="J62" s="6">
        <v>6.3</v>
      </c>
      <c r="K62" s="6" t="s">
        <v>30</v>
      </c>
      <c r="L62" s="6" t="s">
        <v>30</v>
      </c>
      <c r="M62" s="6" t="s">
        <v>30</v>
      </c>
      <c r="N62" s="6"/>
      <c r="O62" s="6"/>
      <c r="P62" s="6" t="s">
        <v>33</v>
      </c>
      <c r="Q62" s="5"/>
      <c r="R62" s="5"/>
    </row>
    <row r="63" spans="1:18" ht="28" x14ac:dyDescent="0.2">
      <c r="A63" s="6" t="s">
        <v>151</v>
      </c>
      <c r="B63" s="6" t="s">
        <v>36</v>
      </c>
      <c r="C63" s="6">
        <v>4</v>
      </c>
      <c r="D63" s="6" t="s">
        <v>26</v>
      </c>
      <c r="E63" s="6" t="s">
        <v>158</v>
      </c>
      <c r="F63" s="6" t="s">
        <v>159</v>
      </c>
      <c r="G63" s="6" t="s">
        <v>29</v>
      </c>
      <c r="H63" s="6" t="s">
        <v>29</v>
      </c>
      <c r="I63" s="6">
        <v>1.7</v>
      </c>
      <c r="J63" s="6">
        <v>5.9</v>
      </c>
      <c r="K63" s="6" t="s">
        <v>30</v>
      </c>
      <c r="L63" s="6" t="s">
        <v>30</v>
      </c>
      <c r="M63" s="6" t="s">
        <v>30</v>
      </c>
      <c r="N63" s="6"/>
      <c r="O63" s="6"/>
      <c r="P63" s="6" t="s">
        <v>33</v>
      </c>
      <c r="Q63" s="5"/>
      <c r="R63" s="5"/>
    </row>
    <row r="64" spans="1:18" ht="28" x14ac:dyDescent="0.2">
      <c r="A64" s="6" t="s">
        <v>151</v>
      </c>
      <c r="B64" s="6" t="s">
        <v>36</v>
      </c>
      <c r="C64" s="6">
        <v>5</v>
      </c>
      <c r="D64" s="6" t="s">
        <v>41</v>
      </c>
      <c r="E64" s="6" t="s">
        <v>160</v>
      </c>
      <c r="F64" s="6" t="s">
        <v>161</v>
      </c>
      <c r="G64" s="6" t="s">
        <v>44</v>
      </c>
      <c r="H64" s="6" t="s">
        <v>29</v>
      </c>
      <c r="I64" s="6">
        <v>5.2</v>
      </c>
      <c r="J64" s="6">
        <v>0.2</v>
      </c>
      <c r="K64" s="6" t="s">
        <v>30</v>
      </c>
      <c r="L64" s="6" t="s">
        <v>30</v>
      </c>
      <c r="M64" s="6" t="s">
        <v>30</v>
      </c>
      <c r="N64" s="6"/>
      <c r="O64" s="6"/>
      <c r="P64" s="6" t="s">
        <v>33</v>
      </c>
      <c r="Q64" s="5"/>
      <c r="R64" s="5"/>
    </row>
    <row r="65" spans="1:18" ht="42" x14ac:dyDescent="0.2">
      <c r="A65" s="4" t="s">
        <v>151</v>
      </c>
      <c r="B65" s="4" t="s">
        <v>36</v>
      </c>
      <c r="C65" s="4">
        <v>6</v>
      </c>
      <c r="D65" s="4" t="s">
        <v>41</v>
      </c>
      <c r="E65" s="4" t="s">
        <v>162</v>
      </c>
      <c r="F65" s="4" t="s">
        <v>163</v>
      </c>
      <c r="G65" s="4" t="s">
        <v>44</v>
      </c>
      <c r="H65" s="4" t="s">
        <v>29</v>
      </c>
      <c r="I65" s="4">
        <v>14</v>
      </c>
      <c r="J65" s="4">
        <v>9.5</v>
      </c>
      <c r="K65" s="4" t="s">
        <v>30</v>
      </c>
      <c r="L65" s="4" t="s">
        <v>30</v>
      </c>
      <c r="M65" s="4" t="s">
        <v>30</v>
      </c>
      <c r="N65" s="4" t="s">
        <v>164</v>
      </c>
      <c r="O65" s="4" t="s">
        <v>32</v>
      </c>
      <c r="P65" s="4" t="s">
        <v>33</v>
      </c>
      <c r="Q65" s="17" t="s">
        <v>30</v>
      </c>
      <c r="R65" s="5"/>
    </row>
    <row r="66" spans="1:18" ht="28" x14ac:dyDescent="0.2">
      <c r="A66" s="6" t="s">
        <v>151</v>
      </c>
      <c r="B66" s="6" t="s">
        <v>36</v>
      </c>
      <c r="C66" s="6">
        <v>7</v>
      </c>
      <c r="D66" s="6" t="s">
        <v>41</v>
      </c>
      <c r="E66" s="6" t="s">
        <v>165</v>
      </c>
      <c r="F66" s="6" t="s">
        <v>166</v>
      </c>
      <c r="G66" s="6" t="s">
        <v>44</v>
      </c>
      <c r="H66" s="6" t="s">
        <v>29</v>
      </c>
      <c r="I66" s="6">
        <v>-2.2000000000000002</v>
      </c>
      <c r="J66" s="6">
        <v>4.2</v>
      </c>
      <c r="K66" s="6" t="s">
        <v>30</v>
      </c>
      <c r="L66" s="6" t="s">
        <v>30</v>
      </c>
      <c r="M66" s="6" t="s">
        <v>30</v>
      </c>
      <c r="N66" s="6"/>
      <c r="O66" s="6"/>
      <c r="P66" s="6" t="s">
        <v>33</v>
      </c>
      <c r="Q66" s="5"/>
      <c r="R66" s="5"/>
    </row>
    <row r="67" spans="1:18" ht="28" x14ac:dyDescent="0.2">
      <c r="A67" s="6" t="s">
        <v>151</v>
      </c>
      <c r="B67" s="6" t="s">
        <v>36</v>
      </c>
      <c r="C67" s="6">
        <v>8</v>
      </c>
      <c r="D67" s="6" t="s">
        <v>41</v>
      </c>
      <c r="E67" s="6" t="s">
        <v>167</v>
      </c>
      <c r="F67" s="6" t="s">
        <v>168</v>
      </c>
      <c r="G67" s="6" t="s">
        <v>44</v>
      </c>
      <c r="H67" s="6" t="s">
        <v>29</v>
      </c>
      <c r="I67" s="6">
        <v>6.8</v>
      </c>
      <c r="J67" s="6">
        <v>3.1</v>
      </c>
      <c r="K67" s="6" t="s">
        <v>30</v>
      </c>
      <c r="L67" s="6" t="s">
        <v>30</v>
      </c>
      <c r="M67" s="6" t="s">
        <v>30</v>
      </c>
      <c r="N67" s="6"/>
      <c r="O67" s="6"/>
      <c r="P67" s="6" t="s">
        <v>33</v>
      </c>
      <c r="Q67" s="5"/>
      <c r="R67" s="5"/>
    </row>
    <row r="68" spans="1:18" ht="28" x14ac:dyDescent="0.2">
      <c r="A68" s="6" t="s">
        <v>151</v>
      </c>
      <c r="B68" s="6" t="s">
        <v>36</v>
      </c>
      <c r="C68" s="6">
        <v>9</v>
      </c>
      <c r="D68" s="6" t="s">
        <v>41</v>
      </c>
      <c r="E68" s="6" t="s">
        <v>169</v>
      </c>
      <c r="F68" s="6" t="s">
        <v>170</v>
      </c>
      <c r="G68" s="6" t="s">
        <v>44</v>
      </c>
      <c r="H68" s="6" t="s">
        <v>44</v>
      </c>
      <c r="I68" s="6">
        <v>10.7</v>
      </c>
      <c r="J68" s="6">
        <v>5.2</v>
      </c>
      <c r="K68" s="6" t="s">
        <v>30</v>
      </c>
      <c r="L68" s="6" t="s">
        <v>30</v>
      </c>
      <c r="M68" s="6" t="s">
        <v>30</v>
      </c>
      <c r="N68" s="6"/>
      <c r="O68" s="6"/>
      <c r="P68" s="6" t="s">
        <v>33</v>
      </c>
      <c r="Q68" s="5"/>
      <c r="R68" s="5"/>
    </row>
    <row r="69" spans="1:18" ht="28" x14ac:dyDescent="0.2">
      <c r="A69" s="6" t="s">
        <v>151</v>
      </c>
      <c r="B69" s="6" t="s">
        <v>36</v>
      </c>
      <c r="C69" s="6">
        <v>10</v>
      </c>
      <c r="D69" s="6" t="s">
        <v>41</v>
      </c>
      <c r="E69" s="6" t="s">
        <v>171</v>
      </c>
      <c r="F69" s="6" t="s">
        <v>172</v>
      </c>
      <c r="G69" s="6" t="s">
        <v>44</v>
      </c>
      <c r="H69" s="6" t="s">
        <v>29</v>
      </c>
      <c r="I69" s="6">
        <v>15.8</v>
      </c>
      <c r="J69" s="6">
        <v>10.6</v>
      </c>
      <c r="K69" s="6" t="s">
        <v>30</v>
      </c>
      <c r="L69" s="6" t="s">
        <v>30</v>
      </c>
      <c r="M69" s="6" t="s">
        <v>30</v>
      </c>
      <c r="N69" s="6"/>
      <c r="O69" s="6"/>
      <c r="P69" s="6" t="s">
        <v>33</v>
      </c>
      <c r="Q69" s="5"/>
      <c r="R69" s="5"/>
    </row>
    <row r="70" spans="1:18" ht="28" x14ac:dyDescent="0.2">
      <c r="A70" s="6" t="s">
        <v>173</v>
      </c>
      <c r="B70" s="6" t="s">
        <v>25</v>
      </c>
      <c r="C70" s="6">
        <v>1</v>
      </c>
      <c r="D70" s="6" t="s">
        <v>26</v>
      </c>
      <c r="E70" s="6" t="s">
        <v>174</v>
      </c>
      <c r="F70" s="6" t="s">
        <v>175</v>
      </c>
      <c r="G70" s="6" t="s">
        <v>29</v>
      </c>
      <c r="H70" s="6" t="s">
        <v>29</v>
      </c>
      <c r="I70" s="6">
        <v>5.2</v>
      </c>
      <c r="J70" s="6">
        <v>0.8</v>
      </c>
      <c r="K70" s="6" t="s">
        <v>30</v>
      </c>
      <c r="L70" s="6" t="s">
        <v>30</v>
      </c>
      <c r="M70" s="6" t="s">
        <v>30</v>
      </c>
      <c r="N70" s="6"/>
      <c r="O70" s="6"/>
      <c r="P70" s="6" t="s">
        <v>33</v>
      </c>
      <c r="Q70" s="5"/>
      <c r="R70" s="5"/>
    </row>
    <row r="71" spans="1:18" ht="42" x14ac:dyDescent="0.2">
      <c r="A71" s="6" t="s">
        <v>173</v>
      </c>
      <c r="B71" s="6" t="s">
        <v>25</v>
      </c>
      <c r="C71" s="6">
        <v>2</v>
      </c>
      <c r="D71" s="6" t="s">
        <v>26</v>
      </c>
      <c r="E71" s="6" t="s">
        <v>176</v>
      </c>
      <c r="F71" s="6" t="s">
        <v>35</v>
      </c>
      <c r="G71" s="6" t="s">
        <v>29</v>
      </c>
      <c r="H71" s="6" t="s">
        <v>29</v>
      </c>
      <c r="I71" s="6">
        <v>14.1</v>
      </c>
      <c r="J71" s="6">
        <v>11.2</v>
      </c>
      <c r="K71" s="6" t="s">
        <v>30</v>
      </c>
      <c r="L71" s="6" t="s">
        <v>30</v>
      </c>
      <c r="M71" s="6" t="s">
        <v>30</v>
      </c>
      <c r="N71" s="6"/>
      <c r="O71" s="6"/>
      <c r="P71" s="6" t="s">
        <v>33</v>
      </c>
      <c r="Q71" s="5"/>
      <c r="R71" s="5"/>
    </row>
    <row r="72" spans="1:18" x14ac:dyDescent="0.2">
      <c r="A72" s="6" t="s">
        <v>173</v>
      </c>
      <c r="B72" s="6" t="s">
        <v>36</v>
      </c>
      <c r="C72" s="6">
        <v>3</v>
      </c>
      <c r="D72" s="6" t="s">
        <v>26</v>
      </c>
      <c r="E72" s="6" t="s">
        <v>177</v>
      </c>
      <c r="F72" s="6" t="s">
        <v>178</v>
      </c>
      <c r="G72" s="6" t="s">
        <v>29</v>
      </c>
      <c r="H72" s="6" t="s">
        <v>29</v>
      </c>
      <c r="I72" s="6">
        <v>7.2</v>
      </c>
      <c r="J72" s="6">
        <v>3.7</v>
      </c>
      <c r="K72" s="6" t="s">
        <v>30</v>
      </c>
      <c r="L72" s="6" t="s">
        <v>30</v>
      </c>
      <c r="M72" s="6" t="s">
        <v>30</v>
      </c>
      <c r="N72" s="6"/>
      <c r="O72" s="6"/>
      <c r="P72" s="6" t="s">
        <v>33</v>
      </c>
      <c r="Q72" s="5"/>
      <c r="R72" s="5"/>
    </row>
    <row r="73" spans="1:18" ht="42" x14ac:dyDescent="0.2">
      <c r="A73" s="6" t="s">
        <v>173</v>
      </c>
      <c r="B73" s="6" t="s">
        <v>36</v>
      </c>
      <c r="C73" s="6">
        <v>4</v>
      </c>
      <c r="D73" s="6" t="s">
        <v>26</v>
      </c>
      <c r="E73" s="6" t="s">
        <v>179</v>
      </c>
      <c r="F73" s="6" t="s">
        <v>180</v>
      </c>
      <c r="G73" s="6" t="s">
        <v>29</v>
      </c>
      <c r="H73" s="6" t="s">
        <v>29</v>
      </c>
      <c r="I73" s="6">
        <v>-0.5</v>
      </c>
      <c r="J73" s="6">
        <v>4.3</v>
      </c>
      <c r="K73" s="6" t="s">
        <v>30</v>
      </c>
      <c r="L73" s="6" t="s">
        <v>30</v>
      </c>
      <c r="M73" s="6" t="s">
        <v>30</v>
      </c>
      <c r="N73" s="6"/>
      <c r="O73" s="6"/>
      <c r="P73" s="6" t="s">
        <v>33</v>
      </c>
      <c r="Q73" s="5"/>
      <c r="R73" s="5"/>
    </row>
    <row r="74" spans="1:18" ht="28" x14ac:dyDescent="0.2">
      <c r="A74" s="6" t="s">
        <v>173</v>
      </c>
      <c r="B74" s="6" t="s">
        <v>36</v>
      </c>
      <c r="C74" s="6">
        <v>5</v>
      </c>
      <c r="D74" s="6" t="s">
        <v>26</v>
      </c>
      <c r="E74" s="6" t="s">
        <v>181</v>
      </c>
      <c r="F74" s="6" t="s">
        <v>182</v>
      </c>
      <c r="G74" s="6" t="s">
        <v>29</v>
      </c>
      <c r="H74" s="6" t="s">
        <v>29</v>
      </c>
      <c r="I74" s="6">
        <v>5</v>
      </c>
      <c r="J74" s="6">
        <v>6.7</v>
      </c>
      <c r="K74" s="6" t="s">
        <v>30</v>
      </c>
      <c r="L74" s="6" t="s">
        <v>30</v>
      </c>
      <c r="M74" s="6" t="s">
        <v>30</v>
      </c>
      <c r="N74" s="6"/>
      <c r="O74" s="6"/>
      <c r="P74" s="6" t="s">
        <v>33</v>
      </c>
      <c r="Q74" s="5"/>
      <c r="R74" s="5"/>
    </row>
    <row r="75" spans="1:18" ht="28" x14ac:dyDescent="0.2">
      <c r="A75" s="6" t="s">
        <v>173</v>
      </c>
      <c r="B75" s="6" t="s">
        <v>36</v>
      </c>
      <c r="C75" s="6">
        <v>6</v>
      </c>
      <c r="D75" s="6" t="s">
        <v>26</v>
      </c>
      <c r="E75" s="6" t="s">
        <v>183</v>
      </c>
      <c r="F75" s="6" t="s">
        <v>184</v>
      </c>
      <c r="G75" s="6" t="s">
        <v>29</v>
      </c>
      <c r="H75" s="6" t="s">
        <v>29</v>
      </c>
      <c r="I75" s="6">
        <v>4.8</v>
      </c>
      <c r="J75" s="6">
        <v>3.1</v>
      </c>
      <c r="K75" s="6" t="s">
        <v>30</v>
      </c>
      <c r="L75" s="6" t="s">
        <v>30</v>
      </c>
      <c r="M75" s="6" t="s">
        <v>30</v>
      </c>
      <c r="N75" s="6"/>
      <c r="O75" s="6"/>
      <c r="P75" s="6" t="s">
        <v>33</v>
      </c>
      <c r="Q75" s="5"/>
      <c r="R75" s="5"/>
    </row>
    <row r="76" spans="1:18" ht="42" x14ac:dyDescent="0.2">
      <c r="A76" s="6" t="s">
        <v>173</v>
      </c>
      <c r="B76" s="6" t="s">
        <v>36</v>
      </c>
      <c r="C76" s="6">
        <v>7</v>
      </c>
      <c r="D76" s="6" t="s">
        <v>26</v>
      </c>
      <c r="E76" s="6" t="s">
        <v>185</v>
      </c>
      <c r="F76" s="6" t="s">
        <v>186</v>
      </c>
      <c r="G76" s="6" t="s">
        <v>29</v>
      </c>
      <c r="H76" s="6" t="s">
        <v>29</v>
      </c>
      <c r="I76" s="6">
        <v>4.9000000000000004</v>
      </c>
      <c r="J76" s="6">
        <v>8.8000000000000007</v>
      </c>
      <c r="K76" s="6" t="s">
        <v>30</v>
      </c>
      <c r="L76" s="6" t="s">
        <v>30</v>
      </c>
      <c r="M76" s="6" t="s">
        <v>30</v>
      </c>
      <c r="N76" s="6"/>
      <c r="O76" s="6"/>
      <c r="P76" s="6" t="s">
        <v>33</v>
      </c>
      <c r="Q76" s="5"/>
      <c r="R76" s="5"/>
    </row>
    <row r="77" spans="1:18" ht="42" x14ac:dyDescent="0.2">
      <c r="A77" s="7" t="s">
        <v>173</v>
      </c>
      <c r="B77" s="7" t="s">
        <v>36</v>
      </c>
      <c r="C77" s="7">
        <v>8</v>
      </c>
      <c r="D77" s="7" t="s">
        <v>41</v>
      </c>
      <c r="E77" s="7" t="s">
        <v>187</v>
      </c>
      <c r="F77" s="7" t="s">
        <v>188</v>
      </c>
      <c r="G77" s="7" t="s">
        <v>44</v>
      </c>
      <c r="H77" s="7" t="s">
        <v>29</v>
      </c>
      <c r="I77" s="7">
        <v>9.8000000000000007</v>
      </c>
      <c r="J77" s="7">
        <v>12.4</v>
      </c>
      <c r="K77" s="7" t="s">
        <v>83</v>
      </c>
      <c r="L77" s="7" t="s">
        <v>30</v>
      </c>
      <c r="M77" s="7" t="s">
        <v>30</v>
      </c>
      <c r="N77" s="7" t="s">
        <v>189</v>
      </c>
      <c r="O77" s="7" t="s">
        <v>85</v>
      </c>
      <c r="P77" s="7" t="s">
        <v>33</v>
      </c>
      <c r="Q77" s="17" t="s">
        <v>30</v>
      </c>
      <c r="R77" s="5"/>
    </row>
    <row r="78" spans="1:18" ht="28" x14ac:dyDescent="0.2">
      <c r="A78" s="6" t="s">
        <v>173</v>
      </c>
      <c r="B78" s="6" t="s">
        <v>36</v>
      </c>
      <c r="C78" s="6">
        <v>9</v>
      </c>
      <c r="D78" s="6" t="s">
        <v>41</v>
      </c>
      <c r="E78" s="6" t="s">
        <v>190</v>
      </c>
      <c r="F78" s="6" t="s">
        <v>191</v>
      </c>
      <c r="G78" s="6" t="s">
        <v>44</v>
      </c>
      <c r="H78" s="6" t="s">
        <v>29</v>
      </c>
      <c r="I78" s="6">
        <v>5.8</v>
      </c>
      <c r="J78" s="6">
        <v>5</v>
      </c>
      <c r="K78" s="6" t="s">
        <v>30</v>
      </c>
      <c r="L78" s="6" t="s">
        <v>30</v>
      </c>
      <c r="M78" s="6" t="s">
        <v>30</v>
      </c>
      <c r="N78" s="6"/>
      <c r="O78" s="6"/>
      <c r="P78" s="6" t="s">
        <v>33</v>
      </c>
      <c r="Q78" s="5"/>
      <c r="R78" s="5"/>
    </row>
    <row r="79" spans="1:18" ht="42" x14ac:dyDescent="0.2">
      <c r="A79" s="6" t="s">
        <v>173</v>
      </c>
      <c r="B79" s="6" t="s">
        <v>36</v>
      </c>
      <c r="C79" s="6">
        <v>10</v>
      </c>
      <c r="D79" s="6" t="s">
        <v>41</v>
      </c>
      <c r="E79" s="6" t="s">
        <v>192</v>
      </c>
      <c r="F79" s="6" t="s">
        <v>193</v>
      </c>
      <c r="G79" s="6" t="s">
        <v>44</v>
      </c>
      <c r="H79" s="6" t="s">
        <v>29</v>
      </c>
      <c r="I79" s="6">
        <v>14.1</v>
      </c>
      <c r="J79" s="6">
        <v>12.9</v>
      </c>
      <c r="K79" s="6" t="s">
        <v>30</v>
      </c>
      <c r="L79" s="6" t="s">
        <v>30</v>
      </c>
      <c r="M79" s="6" t="s">
        <v>30</v>
      </c>
      <c r="N79" s="6"/>
      <c r="O79" s="6"/>
      <c r="P79" s="6" t="s">
        <v>33</v>
      </c>
      <c r="Q79" s="5"/>
      <c r="R79" s="5"/>
    </row>
    <row r="80" spans="1:18" ht="56" x14ac:dyDescent="0.2">
      <c r="A80" s="4" t="s">
        <v>194</v>
      </c>
      <c r="B80" s="4" t="s">
        <v>25</v>
      </c>
      <c r="C80" s="4">
        <v>1</v>
      </c>
      <c r="D80" s="4" t="s">
        <v>26</v>
      </c>
      <c r="E80" s="4" t="s">
        <v>195</v>
      </c>
      <c r="F80" s="4" t="s">
        <v>196</v>
      </c>
      <c r="G80" s="4" t="s">
        <v>29</v>
      </c>
      <c r="H80" s="4" t="s">
        <v>29</v>
      </c>
      <c r="I80" s="4">
        <v>5.2</v>
      </c>
      <c r="J80" s="4">
        <v>0.8</v>
      </c>
      <c r="K80" s="4" t="s">
        <v>30</v>
      </c>
      <c r="L80" s="4" t="s">
        <v>30</v>
      </c>
      <c r="M80" s="4" t="s">
        <v>30</v>
      </c>
      <c r="N80" s="4" t="s">
        <v>197</v>
      </c>
      <c r="O80" s="4" t="s">
        <v>32</v>
      </c>
      <c r="P80" s="4" t="s">
        <v>33</v>
      </c>
      <c r="Q80" s="17" t="s">
        <v>30</v>
      </c>
      <c r="R80" s="5"/>
    </row>
    <row r="81" spans="1:18" ht="42" x14ac:dyDescent="0.2">
      <c r="A81" s="6" t="s">
        <v>194</v>
      </c>
      <c r="B81" s="6" t="s">
        <v>36</v>
      </c>
      <c r="C81" s="6">
        <v>2</v>
      </c>
      <c r="D81" s="6" t="s">
        <v>26</v>
      </c>
      <c r="E81" s="6" t="s">
        <v>198</v>
      </c>
      <c r="F81" s="6" t="s">
        <v>199</v>
      </c>
      <c r="G81" s="6" t="s">
        <v>29</v>
      </c>
      <c r="H81" s="6" t="s">
        <v>29</v>
      </c>
      <c r="I81" s="6">
        <v>7.6</v>
      </c>
      <c r="J81" s="6">
        <v>10.9</v>
      </c>
      <c r="K81" s="6" t="s">
        <v>30</v>
      </c>
      <c r="L81" s="6" t="s">
        <v>30</v>
      </c>
      <c r="M81" s="6" t="s">
        <v>30</v>
      </c>
      <c r="N81" s="6"/>
      <c r="O81" s="6"/>
      <c r="P81" s="6" t="s">
        <v>33</v>
      </c>
      <c r="Q81" s="5"/>
      <c r="R81" s="5"/>
    </row>
    <row r="82" spans="1:18" ht="28" x14ac:dyDescent="0.2">
      <c r="A82" s="6" t="s">
        <v>194</v>
      </c>
      <c r="B82" s="6" t="s">
        <v>36</v>
      </c>
      <c r="C82" s="6">
        <v>3</v>
      </c>
      <c r="D82" s="6" t="s">
        <v>41</v>
      </c>
      <c r="E82" s="6" t="s">
        <v>200</v>
      </c>
      <c r="F82" s="6" t="s">
        <v>201</v>
      </c>
      <c r="G82" s="6" t="s">
        <v>44</v>
      </c>
      <c r="H82" s="6" t="s">
        <v>29</v>
      </c>
      <c r="I82" s="6">
        <v>5.4</v>
      </c>
      <c r="J82" s="6">
        <v>4.2</v>
      </c>
      <c r="K82" s="6" t="s">
        <v>30</v>
      </c>
      <c r="L82" s="6" t="s">
        <v>30</v>
      </c>
      <c r="M82" s="6" t="s">
        <v>30</v>
      </c>
      <c r="N82" s="6"/>
      <c r="O82" s="6"/>
      <c r="P82" s="6" t="s">
        <v>33</v>
      </c>
      <c r="Q82" s="5"/>
      <c r="R82" s="5"/>
    </row>
    <row r="83" spans="1:18" ht="28" x14ac:dyDescent="0.2">
      <c r="A83" s="6" t="s">
        <v>194</v>
      </c>
      <c r="B83" s="6" t="s">
        <v>36</v>
      </c>
      <c r="C83" s="6">
        <v>4</v>
      </c>
      <c r="D83" s="6" t="s">
        <v>41</v>
      </c>
      <c r="E83" s="6" t="s">
        <v>202</v>
      </c>
      <c r="F83" s="6" t="s">
        <v>203</v>
      </c>
      <c r="G83" s="6" t="s">
        <v>44</v>
      </c>
      <c r="H83" s="6" t="s">
        <v>44</v>
      </c>
      <c r="I83" s="6">
        <v>15.4</v>
      </c>
      <c r="J83" s="6">
        <v>12.2</v>
      </c>
      <c r="K83" s="6" t="s">
        <v>30</v>
      </c>
      <c r="L83" s="6" t="s">
        <v>30</v>
      </c>
      <c r="M83" s="6" t="s">
        <v>30</v>
      </c>
      <c r="N83" s="6"/>
      <c r="O83" s="6"/>
      <c r="P83" s="6" t="s">
        <v>33</v>
      </c>
      <c r="Q83" s="5"/>
      <c r="R83" s="5"/>
    </row>
    <row r="84" spans="1:18" x14ac:dyDescent="0.2">
      <c r="A84" s="6" t="s">
        <v>194</v>
      </c>
      <c r="B84" s="6" t="s">
        <v>36</v>
      </c>
      <c r="C84" s="6">
        <v>5</v>
      </c>
      <c r="D84" s="6" t="s">
        <v>41</v>
      </c>
      <c r="E84" s="6" t="s">
        <v>204</v>
      </c>
      <c r="F84" s="6" t="s">
        <v>87</v>
      </c>
      <c r="G84" s="6" t="s">
        <v>44</v>
      </c>
      <c r="H84" s="6" t="s">
        <v>44</v>
      </c>
      <c r="I84" s="6">
        <v>13.1</v>
      </c>
      <c r="J84" s="6">
        <v>6.6</v>
      </c>
      <c r="K84" s="6" t="s">
        <v>30</v>
      </c>
      <c r="L84" s="6" t="s">
        <v>30</v>
      </c>
      <c r="M84" s="6" t="s">
        <v>30</v>
      </c>
      <c r="N84" s="6"/>
      <c r="O84" s="6"/>
      <c r="P84" s="6" t="s">
        <v>33</v>
      </c>
      <c r="Q84" s="5"/>
      <c r="R84" s="5"/>
    </row>
    <row r="85" spans="1:18" x14ac:dyDescent="0.2">
      <c r="A85" s="6" t="s">
        <v>194</v>
      </c>
      <c r="B85" s="6" t="s">
        <v>36</v>
      </c>
      <c r="C85" s="6">
        <v>6</v>
      </c>
      <c r="D85" s="6" t="s">
        <v>41</v>
      </c>
      <c r="E85" s="6" t="s">
        <v>205</v>
      </c>
      <c r="F85" s="6" t="s">
        <v>206</v>
      </c>
      <c r="G85" s="6" t="s">
        <v>44</v>
      </c>
      <c r="H85" s="6" t="s">
        <v>44</v>
      </c>
      <c r="I85" s="6">
        <v>17</v>
      </c>
      <c r="J85" s="6">
        <v>9.6</v>
      </c>
      <c r="K85" s="6" t="s">
        <v>30</v>
      </c>
      <c r="L85" s="6" t="s">
        <v>30</v>
      </c>
      <c r="M85" s="6" t="s">
        <v>30</v>
      </c>
      <c r="N85" s="6"/>
      <c r="O85" s="6"/>
      <c r="P85" s="6" t="s">
        <v>33</v>
      </c>
      <c r="Q85" s="5"/>
      <c r="R85" s="5"/>
    </row>
    <row r="86" spans="1:18" ht="28" x14ac:dyDescent="0.2">
      <c r="A86" s="6" t="s">
        <v>194</v>
      </c>
      <c r="B86" s="6" t="s">
        <v>36</v>
      </c>
      <c r="C86" s="6">
        <v>7</v>
      </c>
      <c r="D86" s="6" t="s">
        <v>41</v>
      </c>
      <c r="E86" s="6" t="s">
        <v>207</v>
      </c>
      <c r="F86" s="6" t="s">
        <v>208</v>
      </c>
      <c r="G86" s="6" t="s">
        <v>44</v>
      </c>
      <c r="H86" s="6" t="s">
        <v>29</v>
      </c>
      <c r="I86" s="6">
        <v>24.3</v>
      </c>
      <c r="J86" s="6">
        <v>5</v>
      </c>
      <c r="K86" s="6" t="s">
        <v>30</v>
      </c>
      <c r="L86" s="6" t="s">
        <v>30</v>
      </c>
      <c r="M86" s="6" t="s">
        <v>30</v>
      </c>
      <c r="N86" s="6"/>
      <c r="O86" s="6"/>
      <c r="P86" s="6" t="s">
        <v>33</v>
      </c>
      <c r="Q86" s="5"/>
      <c r="R86" s="5"/>
    </row>
    <row r="87" spans="1:18" ht="28" x14ac:dyDescent="0.2">
      <c r="A87" s="6" t="s">
        <v>194</v>
      </c>
      <c r="B87" s="6" t="s">
        <v>36</v>
      </c>
      <c r="C87" s="6">
        <v>8</v>
      </c>
      <c r="D87" s="6" t="s">
        <v>41</v>
      </c>
      <c r="E87" s="6" t="s">
        <v>209</v>
      </c>
      <c r="F87" s="6" t="s">
        <v>210</v>
      </c>
      <c r="G87" s="6" t="s">
        <v>44</v>
      </c>
      <c r="H87" s="6" t="s">
        <v>29</v>
      </c>
      <c r="I87" s="6">
        <v>9.6</v>
      </c>
      <c r="J87" s="6">
        <v>9.1</v>
      </c>
      <c r="K87" s="6" t="s">
        <v>30</v>
      </c>
      <c r="L87" s="6" t="s">
        <v>30</v>
      </c>
      <c r="M87" s="6" t="s">
        <v>30</v>
      </c>
      <c r="N87" s="6"/>
      <c r="O87" s="6"/>
      <c r="P87" s="6" t="s">
        <v>33</v>
      </c>
      <c r="Q87" s="5"/>
      <c r="R87" s="5"/>
    </row>
    <row r="88" spans="1:18" ht="84" x14ac:dyDescent="0.2">
      <c r="A88" s="6" t="s">
        <v>194</v>
      </c>
      <c r="B88" s="6" t="s">
        <v>36</v>
      </c>
      <c r="C88" s="6">
        <v>9</v>
      </c>
      <c r="D88" s="6" t="s">
        <v>41</v>
      </c>
      <c r="E88" s="6" t="s">
        <v>211</v>
      </c>
      <c r="F88" s="6" t="s">
        <v>212</v>
      </c>
      <c r="G88" s="6" t="s">
        <v>44</v>
      </c>
      <c r="H88" s="6" t="s">
        <v>29</v>
      </c>
      <c r="I88" s="6">
        <v>18.8</v>
      </c>
      <c r="J88" s="6">
        <v>16</v>
      </c>
      <c r="K88" s="6" t="s">
        <v>30</v>
      </c>
      <c r="L88" s="6" t="s">
        <v>30</v>
      </c>
      <c r="M88" s="6" t="s">
        <v>30</v>
      </c>
      <c r="N88" s="6"/>
      <c r="O88" s="6"/>
      <c r="P88" s="6" t="s">
        <v>33</v>
      </c>
      <c r="Q88" s="5"/>
      <c r="R88" s="5"/>
    </row>
    <row r="89" spans="1:18" ht="56" x14ac:dyDescent="0.2">
      <c r="A89" s="6" t="s">
        <v>194</v>
      </c>
      <c r="B89" s="6" t="s">
        <v>36</v>
      </c>
      <c r="C89" s="6">
        <v>10</v>
      </c>
      <c r="D89" s="6" t="s">
        <v>41</v>
      </c>
      <c r="E89" s="6" t="s">
        <v>213</v>
      </c>
      <c r="F89" s="6" t="s">
        <v>214</v>
      </c>
      <c r="G89" s="6" t="s">
        <v>44</v>
      </c>
      <c r="H89" s="6" t="s">
        <v>44</v>
      </c>
      <c r="I89" s="6">
        <v>14.1</v>
      </c>
      <c r="J89" s="6">
        <v>10.9</v>
      </c>
      <c r="K89" s="6" t="s">
        <v>30</v>
      </c>
      <c r="L89" s="6" t="s">
        <v>30</v>
      </c>
      <c r="M89" s="6" t="s">
        <v>30</v>
      </c>
      <c r="N89" s="6"/>
      <c r="O89" s="6"/>
      <c r="P89" s="6" t="s">
        <v>33</v>
      </c>
      <c r="Q89" s="5"/>
      <c r="R89" s="5"/>
    </row>
  </sheetData>
  <autoFilter ref="A1:R89"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zoomScaleNormal="100" workbookViewId="0">
      <selection activeCell="D8" sqref="D8"/>
    </sheetView>
  </sheetViews>
  <sheetFormatPr baseColWidth="10" defaultColWidth="8.6640625" defaultRowHeight="15" x14ac:dyDescent="0.2"/>
  <cols>
    <col min="1" max="1" width="13" customWidth="1"/>
    <col min="2" max="2" width="60" customWidth="1"/>
    <col min="3" max="3" width="70" customWidth="1"/>
    <col min="4" max="4" width="14" customWidth="1"/>
    <col min="5" max="5" width="35" customWidth="1"/>
  </cols>
  <sheetData>
    <row r="1" spans="1:5" ht="45" customHeight="1" x14ac:dyDescent="0.2">
      <c r="A1" s="3" t="s">
        <v>6</v>
      </c>
      <c r="B1" s="3" t="s">
        <v>10</v>
      </c>
      <c r="C1" s="3" t="s">
        <v>215</v>
      </c>
      <c r="D1" s="3" t="s">
        <v>216</v>
      </c>
      <c r="E1" s="3" t="s">
        <v>23</v>
      </c>
    </row>
    <row r="2" spans="1:5" ht="28" x14ac:dyDescent="0.2">
      <c r="A2" s="6" t="s">
        <v>52</v>
      </c>
      <c r="B2" s="6" t="s">
        <v>217</v>
      </c>
      <c r="C2" s="6" t="s">
        <v>218</v>
      </c>
      <c r="D2" s="17" t="s">
        <v>30</v>
      </c>
      <c r="E2" s="5"/>
    </row>
    <row r="3" spans="1:5" ht="56" x14ac:dyDescent="0.2">
      <c r="A3" s="6" t="s">
        <v>114</v>
      </c>
      <c r="B3" s="6" t="s">
        <v>219</v>
      </c>
      <c r="C3" s="6" t="s">
        <v>220</v>
      </c>
      <c r="D3" s="17" t="s">
        <v>30</v>
      </c>
      <c r="E3" s="5"/>
    </row>
    <row r="4" spans="1:5" ht="42" x14ac:dyDescent="0.2">
      <c r="A4" s="6" t="s">
        <v>132</v>
      </c>
      <c r="B4" s="6" t="s">
        <v>221</v>
      </c>
      <c r="C4" s="6" t="s">
        <v>222</v>
      </c>
      <c r="D4" s="17" t="s">
        <v>30</v>
      </c>
      <c r="E4" s="5"/>
    </row>
    <row r="5" spans="1:5" ht="70" x14ac:dyDescent="0.2">
      <c r="A5" s="6" t="s">
        <v>151</v>
      </c>
      <c r="B5" s="6" t="s">
        <v>223</v>
      </c>
      <c r="C5" s="6" t="s">
        <v>224</v>
      </c>
      <c r="D5" s="17" t="s">
        <v>30</v>
      </c>
      <c r="E5" s="5"/>
    </row>
    <row r="6" spans="1:5" ht="42" x14ac:dyDescent="0.2">
      <c r="A6" s="6" t="s">
        <v>151</v>
      </c>
      <c r="B6" s="6" t="s">
        <v>158</v>
      </c>
      <c r="C6" s="6" t="s">
        <v>225</v>
      </c>
      <c r="D6" s="17" t="s">
        <v>30</v>
      </c>
      <c r="E6" s="5"/>
    </row>
    <row r="7" spans="1:5" ht="42" x14ac:dyDescent="0.2">
      <c r="A7" s="6" t="s">
        <v>194</v>
      </c>
      <c r="B7" s="6" t="s">
        <v>226</v>
      </c>
      <c r="C7" s="6" t="s">
        <v>227</v>
      </c>
      <c r="D7" s="17" t="s">
        <v>30</v>
      </c>
      <c r="E7" s="5"/>
    </row>
    <row r="8" spans="1:5" ht="98" x14ac:dyDescent="0.2">
      <c r="A8" s="6" t="s">
        <v>194</v>
      </c>
      <c r="B8" s="6" t="s">
        <v>228</v>
      </c>
      <c r="C8" s="6" t="s">
        <v>229</v>
      </c>
      <c r="D8" s="17" t="s">
        <v>30</v>
      </c>
      <c r="E8" s="5"/>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zoomScaleNormal="100" workbookViewId="0"/>
  </sheetViews>
  <sheetFormatPr baseColWidth="10" defaultColWidth="8.6640625" defaultRowHeight="15" x14ac:dyDescent="0.2"/>
  <cols>
    <col min="1" max="1" width="44" customWidth="1"/>
    <col min="2" max="4" width="18" customWidth="1"/>
  </cols>
  <sheetData>
    <row r="1" spans="1:4" ht="31" x14ac:dyDescent="0.2">
      <c r="A1" s="8" t="s">
        <v>230</v>
      </c>
      <c r="B1" s="8" t="s">
        <v>36</v>
      </c>
      <c r="C1" s="8" t="s">
        <v>25</v>
      </c>
    </row>
    <row r="2" spans="1:4" x14ac:dyDescent="0.2">
      <c r="A2" s="9" t="s">
        <v>231</v>
      </c>
      <c r="B2" s="9">
        <f>COUNTIF(Grades!$B$2:$B$89,B$1)</f>
        <v>72</v>
      </c>
      <c r="C2" s="9">
        <f>COUNTIF(Grades!$B$2:$B$89,C$1)</f>
        <v>16</v>
      </c>
    </row>
    <row r="3" spans="1:4" x14ac:dyDescent="0.2">
      <c r="A3" s="9" t="s">
        <v>232</v>
      </c>
      <c r="B3" s="9">
        <f>SUMPRODUCT((Grades!$B$2:$B$89=B$1)*(((Grades!$K$2:$K$89="N")+(Grades!$L$2:$L$89="N")+(Grades!$M$2:$M$89="N"))&gt;0))</f>
        <v>2</v>
      </c>
      <c r="C3" s="9">
        <f>SUMPRODUCT((Grades!$B$2:$B$89=C$1)*(((Grades!$K$2:$K$89="N")+(Grades!$L$2:$L$89="N")+(Grades!$M$2:$M$89="N"))&gt;0))</f>
        <v>0</v>
      </c>
    </row>
    <row r="4" spans="1:4" x14ac:dyDescent="0.2">
      <c r="A4" s="9" t="s">
        <v>233</v>
      </c>
      <c r="B4" s="10">
        <f>IFERROR(1-B3/B2,0)</f>
        <v>0.97222222222222221</v>
      </c>
      <c r="C4" s="10">
        <f>IFERROR(1-C3/C2,0)</f>
        <v>1</v>
      </c>
    </row>
    <row r="5" spans="1:4" x14ac:dyDescent="0.2">
      <c r="A5" s="9" t="s">
        <v>234</v>
      </c>
      <c r="B5" s="9">
        <f>COUNTIFS(Grades!$B$2:$B$89,B$1,Grades!$K$2:$K$89,"N")</f>
        <v>1</v>
      </c>
      <c r="C5" s="9">
        <f>COUNTIFS(Grades!$B$2:$B$89,C$1,Grades!$K$2:$K$89,"N")</f>
        <v>0</v>
      </c>
    </row>
    <row r="6" spans="1:4" x14ac:dyDescent="0.2">
      <c r="A6" s="9" t="s">
        <v>235</v>
      </c>
      <c r="B6" s="9">
        <f>COUNTIFS(Grades!$B$2:$B$89,B$1,Grades!$L$2:$L$89,"N")</f>
        <v>1</v>
      </c>
      <c r="C6" s="9">
        <f>COUNTIFS(Grades!$B$2:$B$89,C$1,Grades!$L$2:$L$89,"N")</f>
        <v>0</v>
      </c>
    </row>
    <row r="7" spans="1:4" x14ac:dyDescent="0.2">
      <c r="A7" s="9" t="s">
        <v>236</v>
      </c>
      <c r="B7" s="9">
        <f>COUNTIFS(Grades!$B$2:$B$89,B$1,Grades!$M$2:$M$89,"N")</f>
        <v>0</v>
      </c>
      <c r="C7" s="9">
        <f>COUNTIFS(Grades!$B$2:$B$89,C$1,Grades!$M$2:$M$89,"N")</f>
        <v>0</v>
      </c>
    </row>
    <row r="8" spans="1:4" x14ac:dyDescent="0.2">
      <c r="A8" s="9" t="s">
        <v>237</v>
      </c>
      <c r="B8" s="11">
        <f>AVERAGEIF(Grades!$B$2:$B$89,B$1,Grades!$I$2:$I$89)</f>
        <v>12.362499999999995</v>
      </c>
      <c r="C8" s="11">
        <f>AVERAGEIF(Grades!$B$2:$B$89,C$1,Grades!$I$2:$I$89)</f>
        <v>7.9125000000000005</v>
      </c>
    </row>
    <row r="9" spans="1:4" x14ac:dyDescent="0.2">
      <c r="A9" s="9" t="s">
        <v>238</v>
      </c>
      <c r="B9" s="11">
        <f>AVERAGEIF(Grades!$B$2:$B$89,B$1,Grades!$J$2:$J$89)</f>
        <v>9.0694444444444446</v>
      </c>
      <c r="C9" s="11">
        <f>AVERAGEIF(Grades!$B$2:$B$89,C$1,Grades!$J$2:$J$89)</f>
        <v>4.6499999999999995</v>
      </c>
    </row>
    <row r="10" spans="1:4" x14ac:dyDescent="0.2">
      <c r="A10" s="9" t="s">
        <v>239</v>
      </c>
      <c r="B10" s="9">
        <f>COUNTIFS(Grades!$B$2:$B$89,B$1,Grades!$Q$2:$Q$89,"?*")</f>
        <v>5</v>
      </c>
      <c r="C10" s="9">
        <f>COUNTIFS(Grades!$B$2:$B$89,C$1,Grades!$Q$2:$Q$89,"?*")</f>
        <v>4</v>
      </c>
    </row>
    <row r="11" spans="1:4" x14ac:dyDescent="0.2">
      <c r="A11" s="9" t="s">
        <v>240</v>
      </c>
      <c r="B11" s="9">
        <f>COUNTIFS(Grades!$B$2:$B$89,B$1,Grades!$Q$2:$Q$89,"N")</f>
        <v>0</v>
      </c>
      <c r="C11" s="9">
        <f>COUNTIFS(Grades!$B$2:$B$89,C$1,Grades!$Q$2:$Q$89,"N")</f>
        <v>0</v>
      </c>
    </row>
    <row r="14" spans="1:4" x14ac:dyDescent="0.2">
      <c r="A14" s="12" t="s">
        <v>241</v>
      </c>
    </row>
    <row r="15" spans="1:4" x14ac:dyDescent="0.2">
      <c r="A15" s="12"/>
      <c r="B15" s="12" t="s">
        <v>233</v>
      </c>
      <c r="C15" s="12" t="s">
        <v>242</v>
      </c>
      <c r="D15" s="12" t="s">
        <v>243</v>
      </c>
    </row>
    <row r="16" spans="1:4" x14ac:dyDescent="0.2">
      <c r="A16" t="s">
        <v>244</v>
      </c>
      <c r="B16" s="13">
        <v>0.83</v>
      </c>
      <c r="C16" s="14">
        <v>100</v>
      </c>
      <c r="D16" t="s">
        <v>245</v>
      </c>
    </row>
    <row r="17" spans="1:4" x14ac:dyDescent="0.2">
      <c r="A17" t="s">
        <v>246</v>
      </c>
      <c r="B17" s="13">
        <v>0.92957746478873204</v>
      </c>
      <c r="C17" s="14">
        <v>71</v>
      </c>
      <c r="D17" t="s">
        <v>245</v>
      </c>
    </row>
    <row r="18" spans="1:4" x14ac:dyDescent="0.2">
      <c r="A18" t="s">
        <v>247</v>
      </c>
      <c r="B18" s="15">
        <f>B4</f>
        <v>0.97222222222222221</v>
      </c>
      <c r="C18">
        <f>B2</f>
        <v>72</v>
      </c>
      <c r="D18" t="s">
        <v>248</v>
      </c>
    </row>
    <row r="19" spans="1:4" x14ac:dyDescent="0.2">
      <c r="A19" s="16" t="s">
        <v>249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How to review</vt:lpstr>
      <vt:lpstr>Grades</vt:lpstr>
      <vt:lpstr>Needs review</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Rohan Gupta Shivaram</cp:lastModifiedBy>
  <cp:revision>0</cp:revision>
  <dcterms:created xsi:type="dcterms:W3CDTF">2026-10-03T01:38:08Z</dcterms:created>
  <dcterms:modified xsi:type="dcterms:W3CDTF">2026-10-03T01:55:31Z</dcterms:modified>
  <dc:language>en-US</dc:language>
</cp:coreProperties>
</file>